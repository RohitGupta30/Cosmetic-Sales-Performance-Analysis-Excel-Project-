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ROHIT\Downloads\"/>
    </mc:Choice>
  </mc:AlternateContent>
  <xr:revisionPtr revIDLastSave="0" documentId="13_ncr:1_{DB2E28ED-D962-42CC-87BD-EED17DAC4A28}" xr6:coauthVersionLast="47" xr6:coauthVersionMax="47" xr10:uidLastSave="{00000000-0000-0000-0000-000000000000}"/>
  <bookViews>
    <workbookView xWindow="-120" yWindow="-120" windowWidth="20730" windowHeight="11160" xr2:uid="{00000000-000D-0000-FFFF-FFFF00000000}"/>
  </bookViews>
  <sheets>
    <sheet name="Cosmetic Sales Data 2025" sheetId="1" r:id="rId1"/>
    <sheet name="Pivot Table" sheetId="6" r:id="rId2"/>
    <sheet name="Dashboard" sheetId="7" r:id="rId3"/>
  </sheets>
  <definedNames>
    <definedName name="_xlcn.WorksheetConnection_makeup_sales_dataset_clean.xlsxTable11" hidden="1">Table1[]</definedName>
    <definedName name="Slicer_Brand">#N/A</definedName>
    <definedName name="Slicer_Country">#N/A</definedName>
    <definedName name="Slicer_Month">#N/A</definedName>
    <definedName name="Slicer_Product_Type">#N/A</definedName>
  </definedNames>
  <calcPr calcId="191029"/>
  <pivotCaches>
    <pivotCache cacheId="1423" r:id="rId4"/>
    <pivotCache cacheId="1426" r:id="rId5"/>
    <pivotCache cacheId="1429" r:id="rId6"/>
    <pivotCache cacheId="1432" r:id="rId7"/>
    <pivotCache cacheId="1435" r:id="rId8"/>
    <pivotCache cacheId="1438" r:id="rId9"/>
    <pivotCache cacheId="1441" r:id="rId10"/>
    <pivotCache cacheId="1444" r:id="rId11"/>
    <pivotCache cacheId="1447" r:id="rId12"/>
    <pivotCache cacheId="1450" r:id="rId13"/>
  </pivotCaches>
  <extLst>
    <ext xmlns:x14="http://schemas.microsoft.com/office/spreadsheetml/2009/9/main" uri="{876F7934-8845-4945-9796-88D515C7AA90}">
      <x14:pivotCaches>
        <pivotCache cacheId="10" r:id="rId14"/>
      </x14:pivotCaches>
    </ex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makeup_sales_dataset_clean.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3" i="1" l="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5C8F4A1-8D82-410A-B515-498C2FBF5344}"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12C9BCF-C551-4DD6-987F-1DE372BF91C8}" name="WorksheetConnection_makeup_sales_dataset_clean.xlsx!Table1" type="102" refreshedVersion="7" minRefreshableVersion="5">
    <extLst>
      <ext xmlns:x15="http://schemas.microsoft.com/office/spreadsheetml/2010/11/main" uri="{DE250136-89BD-433C-8126-D09CA5730AF9}">
        <x15:connection id="Table1" autoDelete="1">
          <x15:rangePr sourceName="_xlcn.WorksheetConnection_makeup_sales_dataset_clean.xlsxTable11"/>
        </x15:connection>
      </ext>
    </extLst>
  </connection>
</connections>
</file>

<file path=xl/sharedStrings.xml><?xml version="1.0" encoding="utf-8"?>
<sst xmlns="http://schemas.openxmlformats.org/spreadsheetml/2006/main" count="2586" uniqueCount="71">
  <si>
    <t>Sale_ID</t>
  </si>
  <si>
    <t>Date</t>
  </si>
  <si>
    <t>Brand</t>
  </si>
  <si>
    <t>Product_Type</t>
  </si>
  <si>
    <t>Country</t>
  </si>
  <si>
    <t>Sales_Channel</t>
  </si>
  <si>
    <t>Payment_Method</t>
  </si>
  <si>
    <t>Price_USD</t>
  </si>
  <si>
    <t>Units_Sold</t>
  </si>
  <si>
    <t>Revenue_USD</t>
  </si>
  <si>
    <t>Fenty Beauty</t>
  </si>
  <si>
    <t>Eyeliner</t>
  </si>
  <si>
    <t>UAE</t>
  </si>
  <si>
    <t>Retail Store</t>
  </si>
  <si>
    <t>Digital Wallet</t>
  </si>
  <si>
    <t>L'Oreal</t>
  </si>
  <si>
    <t>Highlighter</t>
  </si>
  <si>
    <t>USA</t>
  </si>
  <si>
    <t>Online</t>
  </si>
  <si>
    <t>Cash</t>
  </si>
  <si>
    <t>Maybelline</t>
  </si>
  <si>
    <t>Germany</t>
  </si>
  <si>
    <t>Card</t>
  </si>
  <si>
    <t>MAC</t>
  </si>
  <si>
    <t>France</t>
  </si>
  <si>
    <t>Mall</t>
  </si>
  <si>
    <t>Lipstick</t>
  </si>
  <si>
    <t>Estee Lauder</t>
  </si>
  <si>
    <t>Dior</t>
  </si>
  <si>
    <t>UK</t>
  </si>
  <si>
    <t>Huda Beauty</t>
  </si>
  <si>
    <t>Concealer</t>
  </si>
  <si>
    <t>Saudi Arabia</t>
  </si>
  <si>
    <t>Beauty Salon</t>
  </si>
  <si>
    <t>India</t>
  </si>
  <si>
    <t>NARS</t>
  </si>
  <si>
    <t>Blush</t>
  </si>
  <si>
    <t>Mascara</t>
  </si>
  <si>
    <t>Eyeshadow</t>
  </si>
  <si>
    <t>Canada</t>
  </si>
  <si>
    <t>Foundation</t>
  </si>
  <si>
    <t>Month</t>
  </si>
  <si>
    <t>January</t>
  </si>
  <si>
    <t>February</t>
  </si>
  <si>
    <t>March</t>
  </si>
  <si>
    <t>April</t>
  </si>
  <si>
    <t>May</t>
  </si>
  <si>
    <t>June</t>
  </si>
  <si>
    <t>July</t>
  </si>
  <si>
    <t>August</t>
  </si>
  <si>
    <t>September</t>
  </si>
  <si>
    <t>October</t>
  </si>
  <si>
    <t>November</t>
  </si>
  <si>
    <t>December</t>
  </si>
  <si>
    <t>Grand Total</t>
  </si>
  <si>
    <t>Total Revenue</t>
  </si>
  <si>
    <t>Total Orders</t>
  </si>
  <si>
    <t>Brand Wise Sales Performance</t>
  </si>
  <si>
    <t>Country Wise Revenue Distribution</t>
  </si>
  <si>
    <t>Payment Mode Usage</t>
  </si>
  <si>
    <t>Sales Channel</t>
  </si>
  <si>
    <t xml:space="preserve"> Sales Channel Performance</t>
  </si>
  <si>
    <t>Months</t>
  </si>
  <si>
    <t>Monthly Sales Trends</t>
  </si>
  <si>
    <t>Product Type Performance</t>
  </si>
  <si>
    <t>Pivot Table</t>
  </si>
  <si>
    <t>Payment Method</t>
  </si>
  <si>
    <t>Measures</t>
  </si>
  <si>
    <t>Average Sales Value</t>
  </si>
  <si>
    <t>Products</t>
  </si>
  <si>
    <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</si>
</sst>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i/>
      <sz val="26"/>
      <color theme="0"/>
      <name val="Calibri"/>
      <family val="2"/>
      <scheme val="minor"/>
    </font>
    <font>
      <b/>
      <i/>
      <sz val="12"/>
      <color theme="0"/>
      <name val="Calibri"/>
      <family val="2"/>
      <scheme val="minor"/>
    </font>
    <font>
      <b/>
      <sz val="12"/>
      <color theme="1"/>
      <name val="Calibri"/>
      <family val="2"/>
      <scheme val="minor"/>
    </font>
    <font>
      <b/>
      <sz val="1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8B3A62"/>
        <bgColor indexed="64"/>
      </patternFill>
    </fill>
    <fill>
      <patternFill patternType="solid">
        <fgColor rgb="FFFFF5F0"/>
        <bgColor indexed="64"/>
      </patternFill>
    </fill>
    <fill>
      <patternFill patternType="solid">
        <fgColor rgb="FFE7417C"/>
        <bgColor indexed="64"/>
      </patternFill>
    </fill>
  </fills>
  <borders count="3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9">
    <xf numFmtId="0" fontId="0" fillId="0" borderId="0" xfId="0"/>
    <xf numFmtId="14" fontId="0" fillId="0" borderId="0" xfId="0" applyNumberFormat="1"/>
    <xf numFmtId="164" fontId="0" fillId="0" borderId="0" xfId="0" applyNumberFormat="1"/>
    <xf numFmtId="1" fontId="0" fillId="0" borderId="0" xfId="0" applyNumberFormat="1"/>
    <xf numFmtId="0" fontId="0" fillId="0" borderId="0" xfId="0" applyNumberFormat="1"/>
    <xf numFmtId="0" fontId="0" fillId="33" borderId="0" xfId="0" applyFill="1" applyBorder="1"/>
    <xf numFmtId="0" fontId="0" fillId="33" borderId="23" xfId="0" applyFill="1" applyBorder="1"/>
    <xf numFmtId="0" fontId="0" fillId="33" borderId="22" xfId="0" applyFill="1" applyBorder="1"/>
    <xf numFmtId="0" fontId="0" fillId="33" borderId="24" xfId="0" applyFill="1" applyBorder="1"/>
    <xf numFmtId="0" fontId="0" fillId="33" borderId="25" xfId="0" applyFill="1" applyBorder="1"/>
    <xf numFmtId="0" fontId="0" fillId="0" borderId="0" xfId="0" applyBorder="1"/>
    <xf numFmtId="0" fontId="0" fillId="34" borderId="0" xfId="0" applyFill="1"/>
    <xf numFmtId="0" fontId="0" fillId="35" borderId="10" xfId="0" applyFill="1" applyBorder="1" applyAlignment="1">
      <alignment horizontal="center" vertical="center"/>
    </xf>
    <xf numFmtId="0" fontId="0" fillId="35" borderId="26" xfId="0" applyFill="1" applyBorder="1" applyAlignment="1">
      <alignment horizontal="center" vertical="center"/>
    </xf>
    <xf numFmtId="0" fontId="0" fillId="35" borderId="27" xfId="0" applyNumberFormat="1" applyFill="1" applyBorder="1" applyAlignment="1">
      <alignment horizontal="center" vertical="center"/>
    </xf>
    <xf numFmtId="0" fontId="0" fillId="35" borderId="17" xfId="0" applyFill="1" applyBorder="1" applyAlignment="1">
      <alignment horizontal="center" vertical="center"/>
    </xf>
    <xf numFmtId="0" fontId="20" fillId="34" borderId="11" xfId="0" applyFont="1" applyFill="1" applyBorder="1" applyAlignment="1">
      <alignment horizontal="center" vertical="center"/>
    </xf>
    <xf numFmtId="14" fontId="20" fillId="34" borderId="12" xfId="0" applyNumberFormat="1" applyFont="1" applyFill="1" applyBorder="1" applyAlignment="1">
      <alignment horizontal="center" vertical="center"/>
    </xf>
    <xf numFmtId="0" fontId="20" fillId="34" borderId="12" xfId="0" applyFont="1" applyFill="1" applyBorder="1" applyAlignment="1">
      <alignment horizontal="center" vertical="center"/>
    </xf>
    <xf numFmtId="1" fontId="20" fillId="34" borderId="12" xfId="0" applyNumberFormat="1" applyFont="1" applyFill="1" applyBorder="1" applyAlignment="1">
      <alignment horizontal="center" vertical="center"/>
    </xf>
    <xf numFmtId="164" fontId="20" fillId="34" borderId="13" xfId="0" applyNumberFormat="1" applyFont="1" applyFill="1" applyBorder="1" applyAlignment="1">
      <alignment horizontal="center" vertical="center"/>
    </xf>
    <xf numFmtId="0" fontId="20" fillId="34" borderId="13" xfId="0" applyNumberFormat="1" applyFont="1" applyFill="1" applyBorder="1" applyAlignment="1">
      <alignment horizontal="center" vertical="center"/>
    </xf>
    <xf numFmtId="0" fontId="0" fillId="35" borderId="14" xfId="0" applyFill="1" applyBorder="1" applyAlignment="1">
      <alignment horizontal="center" vertical="center"/>
    </xf>
    <xf numFmtId="14" fontId="0" fillId="35" borderId="10" xfId="0" applyNumberFormat="1" applyFill="1" applyBorder="1" applyAlignment="1">
      <alignment horizontal="center" vertical="center"/>
    </xf>
    <xf numFmtId="164" fontId="0" fillId="35" borderId="10" xfId="0" applyNumberFormat="1" applyFill="1" applyBorder="1" applyAlignment="1">
      <alignment horizontal="center" vertical="center"/>
    </xf>
    <xf numFmtId="1" fontId="0" fillId="35" borderId="10" xfId="0" applyNumberFormat="1" applyFill="1" applyBorder="1" applyAlignment="1">
      <alignment horizontal="center" vertical="center"/>
    </xf>
    <xf numFmtId="164" fontId="0" fillId="35" borderId="15" xfId="0" applyNumberFormat="1" applyFill="1" applyBorder="1" applyAlignment="1">
      <alignment horizontal="center" vertical="center"/>
    </xf>
    <xf numFmtId="0" fontId="0" fillId="35" borderId="15" xfId="0" applyNumberFormat="1" applyFill="1" applyBorder="1" applyAlignment="1">
      <alignment horizontal="center" vertical="center"/>
    </xf>
    <xf numFmtId="0" fontId="0" fillId="35" borderId="16" xfId="0" applyFill="1" applyBorder="1" applyAlignment="1">
      <alignment horizontal="center" vertical="center"/>
    </xf>
    <xf numFmtId="14" fontId="0" fillId="35" borderId="17" xfId="0" applyNumberFormat="1" applyFill="1" applyBorder="1" applyAlignment="1">
      <alignment horizontal="center" vertical="center"/>
    </xf>
    <xf numFmtId="164" fontId="0" fillId="35" borderId="17" xfId="0" applyNumberFormat="1" applyFill="1" applyBorder="1" applyAlignment="1">
      <alignment horizontal="center" vertical="center"/>
    </xf>
    <xf numFmtId="1" fontId="0" fillId="35" borderId="17" xfId="0" applyNumberFormat="1" applyFill="1" applyBorder="1" applyAlignment="1">
      <alignment horizontal="center" vertical="center"/>
    </xf>
    <xf numFmtId="164" fontId="0" fillId="35" borderId="18" xfId="0" applyNumberFormat="1" applyFill="1" applyBorder="1" applyAlignment="1">
      <alignment horizontal="center" vertical="center"/>
    </xf>
    <xf numFmtId="0" fontId="0" fillId="35" borderId="18" xfId="0" applyNumberFormat="1" applyFill="1" applyBorder="1" applyAlignment="1">
      <alignment horizontal="center" vertical="center"/>
    </xf>
    <xf numFmtId="0" fontId="16" fillId="34" borderId="0" xfId="0" applyFont="1" applyFill="1"/>
    <xf numFmtId="0" fontId="13" fillId="34" borderId="17" xfId="0" applyFont="1" applyFill="1" applyBorder="1" applyAlignment="1">
      <alignment horizontal="center"/>
    </xf>
    <xf numFmtId="0" fontId="13" fillId="34" borderId="28" xfId="0" applyFont="1" applyFill="1" applyBorder="1" applyAlignment="1">
      <alignment horizontal="center"/>
    </xf>
    <xf numFmtId="0" fontId="13" fillId="34" borderId="18" xfId="0" applyFont="1" applyFill="1" applyBorder="1" applyAlignment="1">
      <alignment horizontal="center"/>
    </xf>
    <xf numFmtId="0" fontId="13" fillId="34" borderId="32" xfId="0" applyFont="1" applyFill="1" applyBorder="1" applyAlignment="1">
      <alignment horizontal="center"/>
    </xf>
    <xf numFmtId="0" fontId="13" fillId="34" borderId="31" xfId="0" applyFont="1" applyFill="1" applyBorder="1" applyAlignment="1">
      <alignment horizontal="center"/>
    </xf>
    <xf numFmtId="0" fontId="13" fillId="34" borderId="29" xfId="0" applyFont="1" applyFill="1" applyBorder="1" applyAlignment="1">
      <alignment horizontal="center"/>
    </xf>
    <xf numFmtId="0" fontId="18" fillId="34" borderId="19" xfId="0" applyFont="1" applyFill="1" applyBorder="1" applyAlignment="1">
      <alignment horizontal="center"/>
    </xf>
    <xf numFmtId="0" fontId="18" fillId="34" borderId="20" xfId="0" applyFont="1" applyFill="1" applyBorder="1" applyAlignment="1">
      <alignment horizontal="center"/>
    </xf>
    <xf numFmtId="0" fontId="18" fillId="34" borderId="21" xfId="0" applyFont="1" applyFill="1" applyBorder="1" applyAlignment="1">
      <alignment horizontal="center"/>
    </xf>
    <xf numFmtId="0" fontId="18" fillId="34" borderId="22" xfId="0" applyFont="1" applyFill="1" applyBorder="1" applyAlignment="1">
      <alignment horizontal="center"/>
    </xf>
    <xf numFmtId="0" fontId="18" fillId="34" borderId="0" xfId="0" applyFont="1" applyFill="1" applyBorder="1" applyAlignment="1">
      <alignment horizontal="center"/>
    </xf>
    <xf numFmtId="0" fontId="18" fillId="34" borderId="23" xfId="0" applyFont="1" applyFill="1" applyBorder="1" applyAlignment="1">
      <alignment horizontal="center"/>
    </xf>
    <xf numFmtId="0" fontId="19" fillId="34" borderId="22" xfId="0" applyFont="1" applyFill="1" applyBorder="1" applyAlignment="1">
      <alignment horizontal="center"/>
    </xf>
    <xf numFmtId="0" fontId="19" fillId="34" borderId="0" xfId="0" applyFont="1" applyFill="1" applyBorder="1" applyAlignment="1">
      <alignment horizontal="center"/>
    </xf>
    <xf numFmtId="0" fontId="19" fillId="34" borderId="23" xfId="0" applyFont="1" applyFill="1" applyBorder="1" applyAlignment="1">
      <alignment horizontal="center"/>
    </xf>
    <xf numFmtId="0" fontId="13" fillId="34" borderId="30" xfId="0" applyFont="1" applyFill="1" applyBorder="1" applyAlignment="1">
      <alignment horizontal="center"/>
    </xf>
    <xf numFmtId="0" fontId="13" fillId="34" borderId="16" xfId="0" applyFont="1" applyFill="1" applyBorder="1" applyAlignment="1">
      <alignment horizontal="center"/>
    </xf>
    <xf numFmtId="0" fontId="0" fillId="35" borderId="10" xfId="0" applyNumberFormat="1" applyFill="1" applyBorder="1"/>
    <xf numFmtId="0" fontId="0" fillId="35" borderId="10" xfId="0" applyFill="1" applyBorder="1" applyAlignment="1">
      <alignment horizontal="left"/>
    </xf>
    <xf numFmtId="0" fontId="0" fillId="35" borderId="10" xfId="0" applyNumberFormat="1" applyFill="1" applyBorder="1" applyAlignment="1">
      <alignment horizontal="center" vertical="center"/>
    </xf>
    <xf numFmtId="0" fontId="0" fillId="35" borderId="27" xfId="0" applyNumberFormat="1" applyFill="1" applyBorder="1"/>
    <xf numFmtId="0" fontId="0" fillId="35" borderId="26" xfId="0" applyFill="1" applyBorder="1" applyAlignment="1">
      <alignment horizontal="left"/>
    </xf>
    <xf numFmtId="0" fontId="16" fillId="35" borderId="26" xfId="0" applyFont="1" applyFill="1" applyBorder="1"/>
    <xf numFmtId="0" fontId="0" fillId="35" borderId="10" xfId="0" applyFill="1" applyBorder="1"/>
    <xf numFmtId="0" fontId="13" fillId="36" borderId="10" xfId="0" applyFont="1" applyFill="1" applyBorder="1" applyAlignment="1">
      <alignment horizontal="center" vertical="center"/>
    </xf>
    <xf numFmtId="0" fontId="21" fillId="35" borderId="10" xfId="0" applyNumberFormat="1" applyFont="1" applyFill="1" applyBorder="1" applyAlignment="1">
      <alignment horizontal="center" vertical="center"/>
    </xf>
    <xf numFmtId="0" fontId="16" fillId="35" borderId="10" xfId="0" applyFont="1" applyFill="1" applyBorder="1"/>
    <xf numFmtId="0" fontId="16" fillId="35" borderId="10" xfId="0" applyFont="1" applyFill="1" applyBorder="1" applyAlignment="1">
      <alignment horizontal="center" vertical="center"/>
    </xf>
    <xf numFmtId="0" fontId="16" fillId="35" borderId="27" xfId="0" applyFont="1" applyFill="1" applyBorder="1"/>
    <xf numFmtId="0" fontId="0" fillId="35" borderId="26" xfId="0" applyFill="1" applyBorder="1"/>
    <xf numFmtId="0" fontId="16" fillId="35" borderId="26" xfId="0" applyFont="1" applyFill="1" applyBorder="1" applyAlignment="1">
      <alignment horizontal="center" vertical="center"/>
    </xf>
    <xf numFmtId="0" fontId="16" fillId="35" borderId="27" xfId="0" applyFont="1" applyFill="1" applyBorder="1" applyAlignment="1">
      <alignment horizontal="center" vertical="center"/>
    </xf>
    <xf numFmtId="0" fontId="0" fillId="35" borderId="33" xfId="0" applyFill="1" applyBorder="1" applyAlignment="1">
      <alignment horizontal="center"/>
    </xf>
    <xf numFmtId="0" fontId="0" fillId="35" borderId="34" xfId="0" applyNumberForma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066">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i/>
      </font>
    </dxf>
    <dxf>
      <font>
        <i val="0"/>
      </font>
    </dxf>
    <dxf>
      <font>
        <i/>
      </font>
    </dxf>
    <dxf>
      <font>
        <i val="0"/>
      </font>
    </dxf>
    <dxf>
      <font>
        <i/>
      </font>
    </dxf>
    <dxf>
      <font>
        <i val="0"/>
      </font>
    </dxf>
    <dxf>
      <font>
        <i/>
      </font>
    </dxf>
    <dxf>
      <font>
        <i val="0"/>
      </font>
    </dxf>
    <dxf>
      <font>
        <b/>
      </font>
    </dxf>
    <dxf>
      <font>
        <b/>
      </font>
    </dxf>
    <dxf>
      <font>
        <b/>
      </font>
    </dxf>
    <dxf>
      <font>
        <b/>
      </font>
    </dxf>
    <dxf>
      <font>
        <color theme="0"/>
      </font>
    </dxf>
    <dxf>
      <font>
        <color auto="1"/>
      </font>
    </dxf>
    <dxf>
      <font>
        <color theme="0"/>
      </font>
    </dxf>
    <dxf>
      <font>
        <color auto="1"/>
      </font>
    </dxf>
    <dxf>
      <font>
        <color theme="0"/>
      </font>
    </dxf>
    <dxf>
      <font>
        <color auto="1"/>
      </font>
    </dxf>
    <dxf>
      <font>
        <color theme="0"/>
      </font>
    </dxf>
    <dxf>
      <font>
        <color auto="1"/>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E7417C"/>
        </patternFill>
      </fill>
    </dxf>
    <dxf>
      <fill>
        <patternFill>
          <bgColor rgb="FFE7417C"/>
        </patternFill>
      </fill>
    </dxf>
    <dxf>
      <fill>
        <patternFill>
          <bgColor rgb="FFD81B60"/>
        </patternFill>
      </fill>
    </dxf>
    <dxf>
      <fill>
        <patternFill>
          <bgColor rgb="FFE7417C"/>
        </patternFill>
      </fill>
    </dxf>
    <dxf>
      <fill>
        <patternFill>
          <bgColor rgb="FFE7417C"/>
        </patternFill>
      </fill>
    </dxf>
    <dxf>
      <fill>
        <patternFill>
          <bgColor rgb="FFD81B60"/>
        </patternFill>
      </fill>
    </dxf>
    <dxf>
      <fill>
        <patternFill>
          <bgColor rgb="FFE7417C"/>
        </patternFill>
      </fill>
    </dxf>
    <dxf>
      <fill>
        <patternFill>
          <bgColor rgb="FFE7417C"/>
        </patternFill>
      </fill>
    </dxf>
    <dxf>
      <fill>
        <patternFill>
          <bgColor rgb="FFD81B60"/>
        </patternFill>
      </fill>
    </dxf>
    <dxf>
      <fill>
        <patternFill>
          <bgColor rgb="FFE7417C"/>
        </patternFill>
      </fill>
    </dxf>
    <dxf>
      <fill>
        <patternFill>
          <bgColor rgb="FFE7417C"/>
        </patternFill>
      </fill>
    </dxf>
    <dxf>
      <fill>
        <patternFill>
          <bgColor rgb="FFD81B60"/>
        </patternFill>
      </fill>
    </dxf>
    <dxf>
      <fill>
        <patternFill>
          <bgColor rgb="FFD81B60"/>
        </patternFill>
      </fill>
    </dxf>
    <dxf>
      <fill>
        <patternFill>
          <bgColor rgb="FFD81B60"/>
        </patternFill>
      </fill>
    </dxf>
    <dxf>
      <fill>
        <patternFill>
          <bgColor rgb="FFD81B60"/>
        </patternFill>
      </fill>
    </dxf>
    <dxf>
      <fill>
        <patternFill>
          <bgColor rgb="FFD81B60"/>
        </patternFill>
      </fill>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font>
        <b/>
      </font>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font>
        <b/>
      </font>
    </dxf>
    <dxf>
      <font>
        <b/>
      </font>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horizontal="general"/>
    </dxf>
    <dxf>
      <alignment horizontal="center"/>
    </dxf>
    <dxf>
      <alignment horizontal="center"/>
    </dxf>
    <dxf>
      <alignment horizontal="center"/>
    </dxf>
    <dxf>
      <alignment horizontal="center"/>
    </dxf>
    <dxf>
      <alignment horizontal="cent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font>
        <b/>
      </font>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font>
        <b/>
      </font>
    </dxf>
    <dxf>
      <font>
        <b/>
      </font>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horizontal="general"/>
    </dxf>
    <dxf>
      <alignment horizontal="center"/>
    </dxf>
    <dxf>
      <alignment horizontal="center"/>
    </dxf>
    <dxf>
      <alignment horizontal="center"/>
    </dxf>
    <dxf>
      <alignment horizontal="center"/>
    </dxf>
    <dxf>
      <alignment horizontal="cent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font>
        <b/>
      </font>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font>
        <b/>
      </font>
    </dxf>
    <dxf>
      <font>
        <b/>
      </font>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horizontal="general"/>
    </dxf>
    <dxf>
      <alignment horizontal="center"/>
    </dxf>
    <dxf>
      <alignment horizontal="center"/>
    </dxf>
    <dxf>
      <alignment horizontal="center"/>
    </dxf>
    <dxf>
      <alignment horizontal="center"/>
    </dxf>
    <dxf>
      <alignment horizontal="cent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font>
        <b/>
      </font>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font>
        <b/>
      </font>
    </dxf>
    <dxf>
      <font>
        <b/>
      </font>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horizontal="general"/>
    </dxf>
    <dxf>
      <alignment horizontal="center"/>
    </dxf>
    <dxf>
      <alignment horizontal="center"/>
    </dxf>
    <dxf>
      <alignment horizontal="center"/>
    </dxf>
    <dxf>
      <alignment horizontal="center"/>
    </dxf>
    <dxf>
      <alignment horizontal="cent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font>
        <b/>
      </font>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font>
        <b/>
      </font>
    </dxf>
    <dxf>
      <font>
        <b/>
      </font>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horizontal="general"/>
    </dxf>
    <dxf>
      <alignment horizontal="center"/>
    </dxf>
    <dxf>
      <alignment horizontal="center"/>
    </dxf>
    <dxf>
      <alignment horizontal="center"/>
    </dxf>
    <dxf>
      <alignment horizontal="center"/>
    </dxf>
    <dxf>
      <alignment horizontal="cent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font>
        <b/>
      </font>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font>
        <b/>
      </font>
    </dxf>
    <dxf>
      <font>
        <b/>
      </font>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horizontal="general"/>
    </dxf>
    <dxf>
      <alignment horizontal="center"/>
    </dxf>
    <dxf>
      <alignment horizontal="center"/>
    </dxf>
    <dxf>
      <alignment horizontal="center"/>
    </dxf>
    <dxf>
      <alignment horizontal="center"/>
    </dxf>
    <dxf>
      <alignment horizontal="cent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font>
        <b/>
      </font>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font>
        <b/>
      </font>
    </dxf>
    <dxf>
      <font>
        <b/>
      </font>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horizontal="general"/>
    </dxf>
    <dxf>
      <alignment horizontal="center"/>
    </dxf>
    <dxf>
      <alignment horizontal="center"/>
    </dxf>
    <dxf>
      <alignment horizontal="center"/>
    </dxf>
    <dxf>
      <alignment horizontal="center"/>
    </dxf>
    <dxf>
      <alignment horizontal="cent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font>
        <b/>
      </font>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font>
        <b/>
      </font>
    </dxf>
    <dxf>
      <font>
        <b/>
      </font>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horizontal="general"/>
    </dxf>
    <dxf>
      <alignment horizontal="center"/>
    </dxf>
    <dxf>
      <alignment horizontal="center"/>
    </dxf>
    <dxf>
      <alignment horizontal="center"/>
    </dxf>
    <dxf>
      <alignment horizontal="center"/>
    </dxf>
    <dxf>
      <alignment horizontal="cent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font>
        <b/>
      </font>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font>
        <b/>
      </font>
    </dxf>
    <dxf>
      <font>
        <b/>
      </font>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horizontal="general"/>
    </dxf>
    <dxf>
      <alignment horizontal="center"/>
    </dxf>
    <dxf>
      <alignment horizontal="center"/>
    </dxf>
    <dxf>
      <alignment horizontal="center"/>
    </dxf>
    <dxf>
      <alignment horizontal="center"/>
    </dxf>
    <dxf>
      <alignment horizontal="cent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font>
        <b/>
      </font>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font>
        <b/>
      </font>
    </dxf>
    <dxf>
      <font>
        <b/>
      </font>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horizontal="general"/>
    </dxf>
    <dxf>
      <alignment horizontal="center"/>
    </dxf>
    <dxf>
      <alignment horizontal="center"/>
    </dxf>
    <dxf>
      <alignment horizontal="center"/>
    </dxf>
    <dxf>
      <alignment horizontal="center"/>
    </dxf>
    <dxf>
      <alignment horizontal="cent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font>
        <b/>
      </font>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font>
        <b/>
      </font>
    </dxf>
    <dxf>
      <font>
        <b/>
      </font>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horizontal="general"/>
    </dxf>
    <dxf>
      <alignment horizontal="center"/>
    </dxf>
    <dxf>
      <alignment horizontal="center"/>
    </dxf>
    <dxf>
      <alignment horizontal="center"/>
    </dxf>
    <dxf>
      <alignment horizontal="center"/>
    </dxf>
    <dxf>
      <alignment horizontal="cent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font>
        <b/>
      </font>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font>
        <b/>
      </font>
    </dxf>
    <dxf>
      <font>
        <b/>
      </font>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horizontal="general"/>
    </dxf>
    <dxf>
      <alignment horizontal="center"/>
    </dxf>
    <dxf>
      <alignment horizontal="center"/>
    </dxf>
    <dxf>
      <alignment horizontal="center"/>
    </dxf>
    <dxf>
      <alignment horizontal="center"/>
    </dxf>
    <dxf>
      <alignment horizontal="cent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font>
        <b/>
      </font>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font>
        <b/>
      </font>
    </dxf>
    <dxf>
      <font>
        <b/>
      </font>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horizontal="general"/>
    </dxf>
    <dxf>
      <alignment horizontal="center"/>
    </dxf>
    <dxf>
      <alignment horizontal="center"/>
    </dxf>
    <dxf>
      <alignment horizontal="center"/>
    </dxf>
    <dxf>
      <alignment horizontal="center"/>
    </dxf>
    <dxf>
      <alignment horizontal="cent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font>
        <b/>
      </font>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font>
        <b/>
      </font>
    </dxf>
    <dxf>
      <font>
        <b/>
      </font>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horizontal="general"/>
    </dxf>
    <dxf>
      <alignment horizontal="center"/>
    </dxf>
    <dxf>
      <alignment horizontal="center"/>
    </dxf>
    <dxf>
      <alignment horizontal="center"/>
    </dxf>
    <dxf>
      <alignment horizontal="center"/>
    </dxf>
    <dxf>
      <alignment horizontal="cent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font>
        <b/>
      </font>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font>
        <b/>
      </font>
    </dxf>
    <dxf>
      <font>
        <b/>
      </font>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horizontal="general"/>
    </dxf>
    <dxf>
      <alignment horizontal="center"/>
    </dxf>
    <dxf>
      <alignment horizontal="center"/>
    </dxf>
    <dxf>
      <alignment horizontal="center"/>
    </dxf>
    <dxf>
      <alignment horizontal="center"/>
    </dxf>
    <dxf>
      <alignment horizontal="cent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font>
        <b/>
      </font>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font>
        <b/>
      </font>
    </dxf>
    <dxf>
      <font>
        <b/>
      </font>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horizontal="general"/>
    </dxf>
    <dxf>
      <alignment horizontal="center"/>
    </dxf>
    <dxf>
      <alignment horizontal="center"/>
    </dxf>
    <dxf>
      <alignment horizontal="center"/>
    </dxf>
    <dxf>
      <alignment horizontal="center"/>
    </dxf>
    <dxf>
      <alignment horizontal="cent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font>
        <b/>
      </font>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font>
        <b/>
      </font>
    </dxf>
    <dxf>
      <font>
        <b/>
      </font>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horizontal="general"/>
    </dxf>
    <dxf>
      <alignment horizontal="center"/>
    </dxf>
    <dxf>
      <alignment horizontal="center"/>
    </dxf>
    <dxf>
      <alignment horizontal="center"/>
    </dxf>
    <dxf>
      <alignment horizontal="center"/>
    </dxf>
    <dxf>
      <alignment horizontal="cent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font>
        <b/>
      </font>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font>
        <b/>
      </font>
    </dxf>
    <dxf>
      <font>
        <b/>
      </font>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horizontal="general"/>
    </dxf>
    <dxf>
      <alignment horizontal="center"/>
    </dxf>
    <dxf>
      <alignment horizontal="center"/>
    </dxf>
    <dxf>
      <alignment horizontal="center"/>
    </dxf>
    <dxf>
      <alignment horizontal="center"/>
    </dxf>
    <dxf>
      <alignment horizontal="center"/>
    </dxf>
    <dxf>
      <border>
        <top style="medium">
          <color indexed="64"/>
        </top>
      </border>
    </dxf>
    <dxf>
      <border>
        <top style="medium">
          <color indexed="64"/>
        </top>
      </border>
    </dxf>
    <dxf>
      <border>
        <bottom style="medium">
          <color indexed="64"/>
        </bottom>
      </border>
    </dxf>
    <dxf>
      <border>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font>
        <b/>
      </font>
    </dxf>
    <dxf>
      <font>
        <b/>
      </font>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bottom style="medium">
          <color indexed="64"/>
        </bottom>
      </border>
    </dxf>
    <dxf>
      <border>
        <bottom style="medium">
          <color indexed="64"/>
        </bottom>
      </border>
    </dxf>
    <dxf>
      <border>
        <top style="medium">
          <color indexed="64"/>
        </top>
      </border>
    </dxf>
    <dxf>
      <border>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border>
        <left style="medium">
          <color indexed="64"/>
        </left>
        <right style="medium">
          <color indexed="64"/>
        </right>
      </border>
    </dxf>
    <dxf>
      <border>
        <left style="medium">
          <color indexed="64"/>
        </left>
        <right style="medium">
          <color indexed="64"/>
        </right>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font>
        <b/>
      </font>
    </dxf>
    <dxf>
      <font>
        <b/>
      </font>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fill>
        <patternFill>
          <bgColor rgb="FFFFF5F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horizontal="general"/>
    </dxf>
    <dxf>
      <alignment horizontal="center"/>
    </dxf>
    <dxf>
      <alignment horizontal="center"/>
    </dxf>
    <dxf>
      <alignment horizontal="center"/>
    </dxf>
    <dxf>
      <alignment horizontal="center"/>
    </dxf>
    <dxf>
      <alignment horizontal="center"/>
    </dxf>
    <dxf>
      <fill>
        <gradientFill degree="90">
          <stop position="0">
            <color theme="0"/>
          </stop>
          <stop position="1">
            <color rgb="FFFFCCFF"/>
          </stop>
        </gradientFill>
      </fill>
    </dxf>
    <dxf>
      <fill>
        <patternFill>
          <bgColor rgb="FFFCD4EC"/>
        </patternFill>
      </fill>
    </dxf>
    <dxf>
      <numFmt numFmtId="0" formatCode="General"/>
      <alignment horizontal="center" vertical="center" textRotation="0" wrapText="0" indent="0" justifyLastLine="0" shrinkToFit="0" readingOrder="0"/>
      <border diagonalUp="0" diagonalDown="0" outline="0">
        <left style="thin">
          <color indexed="64"/>
        </left>
        <right/>
        <top style="thin">
          <color indexed="64"/>
        </top>
        <bottom/>
      </border>
    </dxf>
    <dxf>
      <numFmt numFmtId="0" formatCode="General"/>
      <fill>
        <patternFill patternType="solid">
          <fgColor indexed="64"/>
          <bgColor rgb="FFFFF5F0"/>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border>
    </dxf>
    <dxf>
      <numFmt numFmtId="164" formatCode="0.0"/>
      <alignment horizontal="center" vertical="center" textRotation="0" wrapText="0" indent="0" justifyLastLine="0" shrinkToFit="0" readingOrder="0"/>
      <border diagonalUp="0" diagonalDown="0" outline="0">
        <left style="thin">
          <color indexed="64"/>
        </left>
        <right/>
        <top style="thin">
          <color indexed="64"/>
        </top>
        <bottom/>
      </border>
    </dxf>
    <dxf>
      <numFmt numFmtId="164" formatCode="0.0"/>
      <fill>
        <patternFill patternType="solid">
          <fgColor indexed="64"/>
          <bgColor rgb="FFFFF5F0"/>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1" formatCode="0"/>
      <fill>
        <patternFill patternType="solid">
          <fgColor indexed="64"/>
          <bgColor rgb="FFFFF5F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0.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164" formatCode="0.0"/>
      <fill>
        <patternFill patternType="solid">
          <fgColor indexed="64"/>
          <bgColor rgb="FFFFF5F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ill>
        <patternFill patternType="solid">
          <fgColor indexed="64"/>
          <bgColor rgb="FFFFF5F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ill>
        <patternFill patternType="solid">
          <fgColor indexed="64"/>
          <bgColor rgb="FFFFF5F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ill>
        <patternFill patternType="solid">
          <fgColor indexed="64"/>
          <bgColor rgb="FFFFF5F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ill>
        <patternFill patternType="solid">
          <fgColor indexed="64"/>
          <bgColor rgb="FFFFF5F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ill>
        <patternFill patternType="solid">
          <fgColor indexed="64"/>
          <bgColor rgb="FFFFF5F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19" formatCode="dd/mm/yyyy"/>
      <fill>
        <patternFill patternType="solid">
          <fgColor indexed="64"/>
          <bgColor rgb="FFFFF5F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right style="thin">
          <color indexed="64"/>
        </right>
        <top style="thin">
          <color indexed="64"/>
        </top>
        <bottom/>
      </border>
    </dxf>
    <dxf>
      <fill>
        <patternFill patternType="solid">
          <fgColor indexed="64"/>
          <bgColor rgb="FFFFF5F0"/>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border>
    </dxf>
    <dxf>
      <border>
        <top style="thin">
          <color indexed="64"/>
        </top>
      </border>
    </dxf>
    <dxf>
      <fill>
        <patternFill patternType="solid">
          <fgColor indexed="64"/>
          <bgColor rgb="FFFFF5F0"/>
        </patternFill>
      </fill>
      <alignment horizontal="center" vertical="center" textRotation="0" wrapText="0" indent="0" justifyLastLine="0" shrinkToFit="0" readingOrder="0"/>
    </dxf>
    <dxf>
      <border>
        <bottom style="thin">
          <color indexed="64"/>
        </bottom>
      </border>
    </dxf>
    <dxf>
      <font>
        <b/>
        <strike val="0"/>
        <outline val="0"/>
        <shadow val="0"/>
        <u val="none"/>
        <vertAlign val="baseline"/>
        <sz val="12"/>
        <color theme="1"/>
        <name val="Calibri"/>
        <family val="2"/>
        <scheme val="minor"/>
      </font>
      <fill>
        <patternFill patternType="solid">
          <fgColor indexed="64"/>
          <bgColor rgb="FF8B3A62"/>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mediumGray"/>
      </fill>
      <border>
        <left style="thin">
          <color auto="1"/>
        </left>
        <right style="thin">
          <color auto="1"/>
        </right>
        <top style="thin">
          <color auto="1"/>
        </top>
        <bottom style="thin">
          <color auto="1"/>
        </bottom>
      </border>
    </dxf>
    <dxf>
      <font>
        <b/>
        <i val="0"/>
        <sz val="9"/>
      </font>
    </dxf>
    <dxf>
      <fill>
        <gradientFill degree="90">
          <stop position="0">
            <color theme="0"/>
          </stop>
          <stop position="1">
            <color rgb="FF8B3A62"/>
          </stop>
        </gradientFill>
      </fill>
    </dxf>
    <dxf>
      <fill>
        <gradientFill degree="90">
          <stop position="0">
            <color theme="0"/>
          </stop>
          <stop position="1">
            <color rgb="FFF4AAC4"/>
          </stop>
        </gradientFill>
      </fill>
    </dxf>
  </dxfs>
  <tableStyles count="6" defaultTableStyle="TableStyleMedium2" defaultPivotStyle="PivotStyleLight16">
    <tableStyle name="Slicer Style 1" pivot="0" table="0" count="1" xr9:uid="{747A323A-B85B-4619-AF2D-0ADD0FC24E31}">
      <tableStyleElement type="wholeTable" dxfId="7065"/>
    </tableStyle>
    <tableStyle name="Slicer Style 2" pivot="0" table="0" count="1" xr9:uid="{F2CF737B-0985-422E-9042-DF4D666D6B17}">
      <tableStyleElement type="wholeTable" dxfId="7064"/>
    </tableStyle>
    <tableStyle name="Slicer Style 3" pivot="0" table="0" count="1" xr9:uid="{2BFF0973-3428-4E21-AD8D-B176682626F4}">
      <tableStyleElement type="headerRow" dxfId="7063"/>
    </tableStyle>
    <tableStyle name="Slicer Style 4" pivot="0" table="0" count="1" xr9:uid="{4EC2C6CF-20F3-40AE-971E-E1F3D77A735E}">
      <tableStyleElement type="headerRow" dxfId="7062"/>
    </tableStyle>
    <tableStyle name="Slicer Style 5" pivot="0" table="0" count="1" xr9:uid="{330D5462-EF11-4792-AEDF-2C98D74648B8}">
      <tableStyleElement type="headerRow" dxfId="7035"/>
    </tableStyle>
    <tableStyle name="Slicer Style 6" pivot="0" table="0" count="1" xr9:uid="{86E606D3-CD4F-48E1-9AC6-2851BCE27B62}">
      <tableStyleElement type="headerRow" dxfId="7034"/>
    </tableStyle>
  </tableStyles>
  <colors>
    <mruColors>
      <color rgb="FFE7417C"/>
      <color rgb="FFD81B60"/>
      <color rgb="FFFFCCFF"/>
      <color rgb="FFFCD4EC"/>
      <color rgb="FFF4AAC4"/>
      <color rgb="FFFAD2E0"/>
      <color rgb="FF8B3A62"/>
      <color rgb="FFFBDDE8"/>
      <color rgb="FFBD5F8E"/>
      <color rgb="FFBA68C8"/>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 name="Slicer Style 6"/>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microsoft.com/office/2007/relationships/slicerCache" Target="slicerCaches/slicerCache4.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3.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onnections" Target="connections.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alcChain" Target="calcChain.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10" Type="http://schemas.openxmlformats.org/officeDocument/2006/relationships/pivotCacheDefinition" Target="pivotCache/pivotCacheDefinition7.xml"/><Relationship Id="rId19" Type="http://schemas.openxmlformats.org/officeDocument/2006/relationships/theme" Target="theme/theme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haredStrings" Target="sharedStrings.xml"/><Relationship Id="rId27"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[makeup_sales_dataset_clean.xlsx]Pivot Table!PivotTable5</c:name>
    <c:fmtId val="2"/>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i="0"/>
              <a:t>Payment Mode Usage</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6"/>
        <c:spPr>
          <a:solidFill>
            <a:srgbClr val="8B3A62"/>
          </a:solidFill>
          <a:ln w="19050">
            <a:solidFill>
              <a:schemeClr val="lt1"/>
            </a:solidFill>
          </a:ln>
          <a:effectLst/>
        </c:spPr>
        <c:dLbl>
          <c:idx val="0"/>
          <c:layout>
            <c:manualLayout>
              <c:x val="6.0704452225193294E-2"/>
              <c:y val="-1.6058322775121366E-2"/>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fld id="{691EDDD2-8EBE-4D3B-9DBC-44ACC34A5FA3}" type="CATEGORYNAME">
                  <a:rPr lang="en-US" sz="900" b="1"/>
                  <a:pPr>
                    <a:defRPr b="1"/>
                  </a:pPr>
                  <a:t>[CATEGORY NAME]</a:t>
                </a:fld>
                <a:r>
                  <a:rPr lang="en-US" sz="900" b="1" baseline="0"/>
                  <a:t>,</a:t>
                </a:r>
                <a:fld id="{4979150E-4918-4D44-918D-FF3D5D95F155}" type="VALUE">
                  <a:rPr lang="en-US" sz="900" b="1" baseline="0"/>
                  <a:pPr>
                    <a:defRPr b="1"/>
                  </a:pPr>
                  <a:t>[VALUE]</a:t>
                </a:fld>
                <a:endParaRPr lang="en-US" sz="900" b="1" baseline="0"/>
              </a:p>
              <a:p>
                <a:pPr>
                  <a:defRPr b="1"/>
                </a:pPr>
                <a:r>
                  <a:rPr lang="en-US" sz="900" b="1" baseline="0"/>
                  <a:t> (</a:t>
                </a:r>
                <a:fld id="{9DE1CCEE-384E-435C-9E6D-0152F17CC791}" type="PERCENTAGE">
                  <a:rPr lang="en-US" sz="900" b="1" baseline="0"/>
                  <a:pPr>
                    <a:defRPr b="1"/>
                  </a:pPr>
                  <a:t>[PERCENTAGE]</a:t>
                </a:fld>
                <a:r>
                  <a:rPr lang="en-US" sz="900" b="1" baseline="0"/>
                  <a:t>)</a:t>
                </a:r>
              </a:p>
            </c:rich>
          </c:tx>
          <c:spPr>
            <a:solidFill>
              <a:schemeClr val="bg1"/>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27367793231192428"/>
                  <c:h val="0.1989352537632926"/>
                </c:manualLayout>
              </c15:layout>
              <c15:dlblFieldTable/>
              <c15:showDataLabelsRange val="0"/>
            </c:ext>
          </c:extLst>
        </c:dLbl>
      </c:pivotFmt>
      <c:pivotFmt>
        <c:idx val="7"/>
        <c:spPr>
          <a:solidFill>
            <a:srgbClr val="F4AAC4"/>
          </a:solidFill>
          <a:ln w="19050">
            <a:solidFill>
              <a:schemeClr val="lt1"/>
            </a:solidFill>
          </a:ln>
          <a:effectLst/>
        </c:spPr>
        <c:dLbl>
          <c:idx val="0"/>
          <c:layout>
            <c:manualLayout>
              <c:x val="1.2827596597559292E-2"/>
              <c:y val="-7.2561649456381758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01931BDC-52D8-41A8-9189-FBC596FEDB00}" type="CATEGORYNAME">
                  <a:rPr lang="en-US" sz="1050"/>
                  <a:pPr>
                    <a:defRPr b="1"/>
                  </a:pPr>
                  <a:t>[CATEGORY NAME]</a:t>
                </a:fld>
                <a:r>
                  <a:rPr lang="en-US" sz="1050" baseline="0"/>
                  <a:t>, </a:t>
                </a:r>
                <a:fld id="{34A4FDF4-4126-40C1-BDDC-777C27AFE5F9}" type="VALUE">
                  <a:rPr lang="en-US" sz="1050" baseline="0"/>
                  <a:pPr>
                    <a:defRPr b="1"/>
                  </a:pPr>
                  <a:t>[VALUE]</a:t>
                </a:fld>
                <a:r>
                  <a:rPr lang="en-US" sz="1050" baseline="0"/>
                  <a:t>, (</a:t>
                </a:r>
                <a:fld id="{9EB59BDE-1BFA-4A08-8B75-72511CDA9AD4}" type="PERCENTAGE">
                  <a:rPr lang="en-US" sz="1050" baseline="0"/>
                  <a:pPr>
                    <a:defRPr b="1"/>
                  </a:pPr>
                  <a:t>[PERCENTAGE]</a:t>
                </a:fld>
                <a:r>
                  <a:rPr lang="en-US" sz="1050" baseline="0"/>
                  <a:t>)</a:t>
                </a:r>
              </a:p>
            </c:rich>
          </c:tx>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8"/>
        <c:spPr>
          <a:solidFill>
            <a:srgbClr val="BA68C8"/>
          </a:solidFill>
          <a:ln w="19050">
            <a:solidFill>
              <a:schemeClr val="lt1"/>
            </a:solidFill>
          </a:ln>
          <a:effectLst/>
        </c:spPr>
        <c:dLbl>
          <c:idx val="0"/>
          <c:layout>
            <c:manualLayout>
              <c:x val="4.5702086822093528E-2"/>
              <c:y val="5.1839359666285355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161CE133-0A7A-48FA-8EC9-EAFBD8266E65}" type="CATEGORYNAME">
                  <a:rPr lang="en-US" sz="1050"/>
                  <a:pPr>
                    <a:defRPr b="1"/>
                  </a:pPr>
                  <a:t>[CATEGORY NAME]</a:t>
                </a:fld>
                <a:r>
                  <a:rPr lang="en-US" sz="1050" baseline="0"/>
                  <a:t>, </a:t>
                </a:r>
                <a:fld id="{69C4CD8D-171C-4183-89DE-CAD3D11BBD4B}" type="VALUE">
                  <a:rPr lang="en-US" sz="1050" baseline="0"/>
                  <a:pPr>
                    <a:defRPr b="1"/>
                  </a:pPr>
                  <a:t>[VALUE]</a:t>
                </a:fld>
                <a:r>
                  <a:rPr lang="en-US" sz="1050" baseline="0"/>
                  <a:t>, (</a:t>
                </a:r>
                <a:fld id="{883F9451-6D52-435B-9AF0-D8C01272BA6E}" type="PERCENTAGE">
                  <a:rPr lang="en-US" sz="1050" baseline="0"/>
                  <a:pPr>
                    <a:defRPr b="1"/>
                  </a:pPr>
                  <a:t>[PERCENTAGE]</a:t>
                </a:fld>
                <a:r>
                  <a:rPr lang="en-US" sz="1050" baseline="0"/>
                  <a:t>)</a:t>
                </a:r>
              </a:p>
            </c:rich>
          </c:tx>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'Pivot Table'!$B$21</c:f>
              <c:strCache>
                <c:ptCount val="1"/>
                <c:pt idx="0">
                  <c:v>Total</c:v>
                </c:pt>
              </c:strCache>
            </c:strRef>
          </c:tx>
          <c:dPt>
            <c:idx val="0"/>
            <c:bubble3D val="0"/>
            <c:spPr>
              <a:solidFill>
                <a:srgbClr val="8B3A62"/>
              </a:solidFill>
              <a:ln w="19050">
                <a:solidFill>
                  <a:schemeClr val="lt1"/>
                </a:solidFill>
              </a:ln>
              <a:effectLst/>
            </c:spPr>
            <c:extLst>
              <c:ext xmlns:c16="http://schemas.microsoft.com/office/drawing/2014/chart" uri="{C3380CC4-5D6E-409C-BE32-E72D297353CC}">
                <c16:uniqueId val="{00000008-15B8-4FAC-A83E-C31AE93080B1}"/>
              </c:ext>
            </c:extLst>
          </c:dPt>
          <c:dPt>
            <c:idx val="1"/>
            <c:bubble3D val="0"/>
            <c:spPr>
              <a:solidFill>
                <a:srgbClr val="F4AAC4"/>
              </a:solidFill>
              <a:ln w="19050">
                <a:solidFill>
                  <a:schemeClr val="lt1"/>
                </a:solidFill>
              </a:ln>
              <a:effectLst/>
            </c:spPr>
          </c:dPt>
          <c:dPt>
            <c:idx val="2"/>
            <c:bubble3D val="0"/>
            <c:spPr>
              <a:solidFill>
                <a:srgbClr val="BA68C8"/>
              </a:solidFill>
              <a:ln w="19050">
                <a:solidFill>
                  <a:schemeClr val="lt1"/>
                </a:solidFill>
              </a:ln>
              <a:effectLst/>
            </c:spPr>
          </c:dPt>
          <c:dLbls>
            <c:dLbl>
              <c:idx val="0"/>
              <c:layout>
                <c:manualLayout>
                  <c:x val="6.0704452225193294E-2"/>
                  <c:y val="-1.6058322775121366E-2"/>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fld id="{691EDDD2-8EBE-4D3B-9DBC-44ACC34A5FA3}" type="CATEGORYNAME">
                      <a:rPr lang="en-US" sz="900" b="1"/>
                      <a:pPr>
                        <a:defRPr b="1"/>
                      </a:pPr>
                      <a:t>[CATEGORY NAME]</a:t>
                    </a:fld>
                    <a:r>
                      <a:rPr lang="en-US" sz="900" b="1" baseline="0"/>
                      <a:t>,</a:t>
                    </a:r>
                    <a:fld id="{4979150E-4918-4D44-918D-FF3D5D95F155}" type="VALUE">
                      <a:rPr lang="en-US" sz="900" b="1" baseline="0"/>
                      <a:pPr>
                        <a:defRPr b="1"/>
                      </a:pPr>
                      <a:t>[VALUE]</a:t>
                    </a:fld>
                    <a:endParaRPr lang="en-US" sz="900" b="1" baseline="0"/>
                  </a:p>
                  <a:p>
                    <a:pPr>
                      <a:defRPr b="1"/>
                    </a:pPr>
                    <a:r>
                      <a:rPr lang="en-US" sz="900" b="1" baseline="0"/>
                      <a:t> (</a:t>
                    </a:r>
                    <a:fld id="{9DE1CCEE-384E-435C-9E6D-0152F17CC791}" type="PERCENTAGE">
                      <a:rPr lang="en-US" sz="900" b="1" baseline="0"/>
                      <a:pPr>
                        <a:defRPr b="1"/>
                      </a:pPr>
                      <a:t>[PERCENTAGE]</a:t>
                    </a:fld>
                    <a:r>
                      <a:rPr lang="en-US" sz="900" b="1" baseline="0"/>
                      <a:t>)</a:t>
                    </a:r>
                  </a:p>
                </c:rich>
              </c:tx>
              <c:spPr>
                <a:solidFill>
                  <a:schemeClr val="bg1"/>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27367793231192428"/>
                      <c:h val="0.1989352537632926"/>
                    </c:manualLayout>
                  </c15:layout>
                  <c15:dlblFieldTable/>
                  <c15:showDataLabelsRange val="0"/>
                </c:ext>
                <c:ext xmlns:c16="http://schemas.microsoft.com/office/drawing/2014/chart" uri="{C3380CC4-5D6E-409C-BE32-E72D297353CC}">
                  <c16:uniqueId val="{00000008-15B8-4FAC-A83E-C31AE93080B1}"/>
                </c:ext>
              </c:extLst>
            </c:dLbl>
            <c:dLbl>
              <c:idx val="1"/>
              <c:layout>
                <c:manualLayout>
                  <c:x val="1.2827596597559292E-2"/>
                  <c:y val="-7.2561649456381758E-2"/>
                </c:manualLayout>
              </c:layout>
              <c:tx>
                <c:rich>
                  <a:bodyPr/>
                  <a:lstStyle/>
                  <a:p>
                    <a:fld id="{01931BDC-52D8-41A8-9189-FBC596FEDB00}" type="CATEGORYNAME">
                      <a:rPr lang="en-US" sz="1050"/>
                      <a:pPr/>
                      <a:t>[CATEGORY NAME]</a:t>
                    </a:fld>
                    <a:r>
                      <a:rPr lang="en-US" sz="1050" baseline="0"/>
                      <a:t>, </a:t>
                    </a:r>
                    <a:fld id="{34A4FDF4-4126-40C1-BDDC-777C27AFE5F9}" type="VALUE">
                      <a:rPr lang="en-US" sz="1050" baseline="0"/>
                      <a:pPr/>
                      <a:t>[VALUE]</a:t>
                    </a:fld>
                    <a:r>
                      <a:rPr lang="en-US" sz="1050" baseline="0"/>
                      <a:t>, (</a:t>
                    </a:r>
                    <a:fld id="{9EB59BDE-1BFA-4A08-8B75-72511CDA9AD4}" type="PERCENTAGE">
                      <a:rPr lang="en-US" sz="1050" baseline="0"/>
                      <a:pPr/>
                      <a:t>[PERCENTAGE]</a:t>
                    </a:fld>
                    <a:r>
                      <a:rPr lang="en-US" sz="1050" baseline="0"/>
                      <a:t>)</a:t>
                    </a:r>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Lst>
            </c:dLbl>
            <c:dLbl>
              <c:idx val="2"/>
              <c:layout>
                <c:manualLayout>
                  <c:x val="4.5702086822093528E-2"/>
                  <c:y val="5.1839359666285355E-2"/>
                </c:manualLayout>
              </c:layout>
              <c:tx>
                <c:rich>
                  <a:bodyPr/>
                  <a:lstStyle/>
                  <a:p>
                    <a:fld id="{161CE133-0A7A-48FA-8EC9-EAFBD8266E65}" type="CATEGORYNAME">
                      <a:rPr lang="en-US" sz="1050"/>
                      <a:pPr/>
                      <a:t>[CATEGORY NAME]</a:t>
                    </a:fld>
                    <a:r>
                      <a:rPr lang="en-US" sz="1050" baseline="0"/>
                      <a:t>, </a:t>
                    </a:r>
                    <a:fld id="{69C4CD8D-171C-4183-89DE-CAD3D11BBD4B}" type="VALUE">
                      <a:rPr lang="en-US" sz="1050" baseline="0"/>
                      <a:pPr/>
                      <a:t>[VALUE]</a:t>
                    </a:fld>
                    <a:r>
                      <a:rPr lang="en-US" sz="1050" baseline="0"/>
                      <a:t>, (</a:t>
                    </a:r>
                    <a:fld id="{883F9451-6D52-435B-9AF0-D8C01272BA6E}" type="PERCENTAGE">
                      <a:rPr lang="en-US" sz="1050" baseline="0"/>
                      <a:pPr/>
                      <a:t>[PERCENTAGE]</a:t>
                    </a:fld>
                    <a:r>
                      <a:rPr lang="en-US" sz="1050" baseline="0"/>
                      <a:t>)</a:t>
                    </a:r>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Table'!$A$22:$A$25</c:f>
              <c:strCache>
                <c:ptCount val="3"/>
                <c:pt idx="0">
                  <c:v>Digital Wallet</c:v>
                </c:pt>
                <c:pt idx="1">
                  <c:v>Card</c:v>
                </c:pt>
                <c:pt idx="2">
                  <c:v>Cash</c:v>
                </c:pt>
              </c:strCache>
            </c:strRef>
          </c:cat>
          <c:val>
            <c:numRef>
              <c:f>'Pivot Table'!$B$22:$B$25</c:f>
              <c:numCache>
                <c:formatCode>General</c:formatCode>
                <c:ptCount val="3"/>
                <c:pt idx="0">
                  <c:v>290527.71000000002</c:v>
                </c:pt>
                <c:pt idx="1">
                  <c:v>282921.96000000002</c:v>
                </c:pt>
                <c:pt idx="2">
                  <c:v>219738.83</c:v>
                </c:pt>
              </c:numCache>
            </c:numRef>
          </c:val>
          <c:extLst>
            <c:ext xmlns:c16="http://schemas.microsoft.com/office/drawing/2014/chart" uri="{C3380CC4-5D6E-409C-BE32-E72D297353CC}">
              <c16:uniqueId val="{00000007-15B8-4FAC-A83E-C31AE93080B1}"/>
            </c:ext>
          </c:extLst>
        </c:ser>
        <c:dLbls>
          <c:dLblPos val="outEnd"/>
          <c:showLegendKey val="0"/>
          <c:showVal val="1"/>
          <c:showCatName val="0"/>
          <c:showSerName val="0"/>
          <c:showPercent val="0"/>
          <c:showBubbleSize val="0"/>
          <c:showLeaderLines val="1"/>
        </c:dLbls>
        <c:firstSliceAng val="81"/>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CEAF0"/>
    </a:solidFill>
    <a:ln w="9525" cap="flat" cmpd="sng" algn="ctr">
      <a:solidFill>
        <a:schemeClr val="tx1"/>
      </a:solidFill>
      <a:round/>
    </a:ln>
    <a:effectLst/>
    <a:scene3d>
      <a:camera prst="orthographicFront"/>
      <a:lightRig rig="threePt" dir="t"/>
    </a:scene3d>
    <a:sp3d prstMaterial="plastic"/>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[makeup_sales_dataset_clean.xlsx]Pivot Table!PivotTable6</c:name>
    <c:fmtId val="2"/>
  </c:pivotSource>
  <c:chart>
    <c:title>
      <c:tx>
        <c:rich>
          <a:bodyPr rot="0" spcFirstLastPara="1" vertOverflow="ellipsis" vert="horz" wrap="square" anchor="ctr" anchorCtr="1"/>
          <a:lstStyle/>
          <a:p>
            <a:pPr>
              <a:defRPr sz="2000" b="1" i="1" u="none" strike="noStrike" kern="1200" spc="0" baseline="0">
                <a:solidFill>
                  <a:schemeClr val="tx1">
                    <a:lumMod val="65000"/>
                    <a:lumOff val="35000"/>
                  </a:schemeClr>
                </a:solidFill>
                <a:latin typeface="+mn-lt"/>
                <a:ea typeface="+mn-ea"/>
                <a:cs typeface="+mn-cs"/>
              </a:defRPr>
            </a:pPr>
            <a:r>
              <a:rPr lang="en-US" sz="2000" b="1" i="1"/>
              <a:t> Sales Channel Performance</a:t>
            </a:r>
          </a:p>
        </c:rich>
      </c:tx>
      <c:layout>
        <c:manualLayout>
          <c:xMode val="edge"/>
          <c:yMode val="edge"/>
          <c:x val="0.1414278815254324"/>
          <c:y val="1.113245399608348E-2"/>
        </c:manualLayout>
      </c:layout>
      <c:overlay val="0"/>
      <c:spPr>
        <a:noFill/>
        <a:ln>
          <a:noFill/>
        </a:ln>
        <a:effectLst/>
      </c:spPr>
      <c:txPr>
        <a:bodyPr rot="0" spcFirstLastPara="1" vertOverflow="ellipsis" vert="horz" wrap="square" anchor="ctr" anchorCtr="1"/>
        <a:lstStyle/>
        <a:p>
          <a:pPr>
            <a:defRPr sz="2000" b="1" i="1"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rgbClr val="D81B60"/>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rgbClr val="D81B60"/>
          </a:solidFill>
          <a:ln w="19050">
            <a:solidFill>
              <a:schemeClr val="lt1"/>
            </a:solidFill>
          </a:ln>
          <a:effectLst/>
        </c:spPr>
        <c:dLbl>
          <c:idx val="0"/>
          <c:layout>
            <c:manualLayout>
              <c:x val="0.17246654602081968"/>
              <c:y val="-9.7642259508841756E-2"/>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fld id="{F847155A-813A-4836-8155-AADEE052DF9C}" type="CATEGORYNAME">
                  <a:rPr lang="en-US" sz="1100"/>
                  <a:pPr>
                    <a:defRPr sz="1100" b="1"/>
                  </a:pPr>
                  <a:t>[CATEGORY NAME]</a:t>
                </a:fld>
                <a:r>
                  <a:rPr lang="en-US" sz="1100" baseline="0"/>
                  <a:t> </a:t>
                </a:r>
                <a:fld id="{1F9B4318-AA18-48D5-9B4C-8ABAF0D68A04}" type="VALUE">
                  <a:rPr lang="en-US" sz="1100" baseline="0"/>
                  <a:pPr>
                    <a:defRPr sz="1100" b="1"/>
                  </a:pPr>
                  <a:t>[VALUE]</a:t>
                </a:fld>
                <a:endParaRPr lang="en-US" sz="1100" baseline="0"/>
              </a:p>
            </c:rich>
          </c:tx>
          <c:spPr>
            <a:solidFill>
              <a:schemeClr val="bg1"/>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8"/>
        <c:spPr>
          <a:solidFill>
            <a:srgbClr val="8B3A62"/>
          </a:solidFill>
          <a:ln w="19050">
            <a:solidFill>
              <a:schemeClr val="lt1"/>
            </a:solidFill>
          </a:ln>
          <a:effectLst/>
        </c:spPr>
        <c:dLbl>
          <c:idx val="0"/>
          <c:layout>
            <c:manualLayout>
              <c:x val="0.16269475469113009"/>
              <c:y val="0.10395766812898549"/>
            </c:manualLayout>
          </c:layout>
          <c:tx>
            <c:rich>
              <a:bodyPr rot="0" spcFirstLastPara="1" vertOverflow="ellipsis"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mn-lt"/>
                    <a:ea typeface="+mn-ea"/>
                    <a:cs typeface="+mn-cs"/>
                  </a:defRPr>
                </a:pPr>
                <a:fld id="{76C89728-635B-4923-B39F-7738589F1C58}" type="CATEGORYNAME">
                  <a:rPr lang="en-US" sz="1100"/>
                  <a:pPr>
                    <a:defRPr sz="1100" b="1"/>
                  </a:pPr>
                  <a:t>[CATEGORY NAME]</a:t>
                </a:fld>
                <a:endParaRPr lang="en-US" sz="1100" baseline="0"/>
              </a:p>
              <a:p>
                <a:pPr>
                  <a:defRPr sz="1100" b="1"/>
                </a:pPr>
                <a:r>
                  <a:rPr lang="en-US" sz="1100" baseline="0"/>
                  <a:t> </a:t>
                </a:r>
                <a:fld id="{97C9E82D-CD0D-472F-B6E8-7D3F1C4051DB}" type="VALUE">
                  <a:rPr lang="en-US" sz="1100" baseline="0"/>
                  <a:pPr>
                    <a:defRPr sz="1100" b="1"/>
                  </a:pPr>
                  <a:t>[VALUE]</a:t>
                </a:fld>
                <a:endParaRPr lang="en-US" sz="1100" baseline="0"/>
              </a:p>
            </c:rich>
          </c:tx>
          <c:spPr>
            <a:solidFill>
              <a:schemeClr val="bg1"/>
            </a:solid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17562022497926127"/>
                  <c:h val="0.14161783727556421"/>
                </c:manualLayout>
              </c15:layout>
              <c15:dlblFieldTable/>
              <c15:showDataLabelsRange val="0"/>
            </c:ext>
          </c:extLst>
        </c:dLbl>
      </c:pivotFmt>
      <c:pivotFmt>
        <c:idx val="9"/>
        <c:spPr>
          <a:solidFill>
            <a:srgbClr val="F4AAC4"/>
          </a:solidFill>
          <a:ln w="19050">
            <a:solidFill>
              <a:schemeClr val="lt1"/>
            </a:solidFill>
          </a:ln>
          <a:effectLst/>
        </c:spPr>
        <c:dLbl>
          <c:idx val="0"/>
          <c:layout>
            <c:manualLayout>
              <c:x val="-0.14739706149891588"/>
              <c:y val="5.1112658857582198E-2"/>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fld id="{681DD791-50C5-4767-BA6B-11EF15536771}" type="CATEGORYNAME">
                  <a:rPr lang="en-US" sz="1100"/>
                  <a:pPr>
                    <a:defRPr sz="1100" b="1"/>
                  </a:pPr>
                  <a:t>[CATEGORY NAME]</a:t>
                </a:fld>
                <a:r>
                  <a:rPr lang="en-US" sz="1100" baseline="0"/>
                  <a:t> </a:t>
                </a:r>
                <a:fld id="{9714A88C-DF52-4FD8-BDD5-E8592E71FF26}" type="VALUE">
                  <a:rPr lang="en-US" sz="1100" baseline="0"/>
                  <a:pPr>
                    <a:defRPr sz="1100" b="1"/>
                  </a:pPr>
                  <a:t>[VALUE]</a:t>
                </a:fld>
                <a:endParaRPr lang="en-US" sz="1100" baseline="0"/>
              </a:p>
            </c:rich>
          </c:tx>
          <c:spPr>
            <a:solidFill>
              <a:schemeClr val="bg1"/>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0"/>
        <c:spPr>
          <a:solidFill>
            <a:srgbClr val="BA68C8"/>
          </a:solidFill>
          <a:ln w="19050">
            <a:solidFill>
              <a:schemeClr val="lt1"/>
            </a:solidFill>
          </a:ln>
          <a:effectLst/>
        </c:spPr>
        <c:dLbl>
          <c:idx val="0"/>
          <c:layout>
            <c:manualLayout>
              <c:x val="-0.14168945097435015"/>
              <c:y val="-0.1067219031251413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fld id="{C13F4743-FFF3-4320-B596-8A4DCCB42DB3}" type="CATEGORYNAME">
                  <a:rPr lang="en-US" sz="1100"/>
                  <a:pPr>
                    <a:defRPr sz="1100" b="1"/>
                  </a:pPr>
                  <a:t>[CATEGORY NAME]</a:t>
                </a:fld>
                <a:r>
                  <a:rPr lang="en-US" sz="1100" baseline="0"/>
                  <a:t> </a:t>
                </a:r>
                <a:fld id="{10BE0BD9-90C6-4DF2-83F5-AF8CA341F9D5}" type="VALUE">
                  <a:rPr lang="en-US" sz="1100" baseline="0"/>
                  <a:pPr>
                    <a:defRPr sz="1100" b="1"/>
                  </a:pPr>
                  <a:t>[VALUE]</a:t>
                </a:fld>
                <a:endParaRPr lang="en-US" sz="1100" baseline="0"/>
              </a:p>
            </c:rich>
          </c:tx>
          <c:spPr>
            <a:solidFill>
              <a:schemeClr val="bg1"/>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'Pivot Table'!$F$21</c:f>
              <c:strCache>
                <c:ptCount val="1"/>
                <c:pt idx="0">
                  <c:v>Total</c:v>
                </c:pt>
              </c:strCache>
            </c:strRef>
          </c:tx>
          <c:spPr>
            <a:solidFill>
              <a:srgbClr val="D81B60"/>
            </a:solidFill>
          </c:spPr>
          <c:dPt>
            <c:idx val="0"/>
            <c:bubble3D val="0"/>
            <c:spPr>
              <a:solidFill>
                <a:srgbClr val="D81B60"/>
              </a:solidFill>
              <a:ln w="19050">
                <a:solidFill>
                  <a:schemeClr val="lt1"/>
                </a:solidFill>
              </a:ln>
              <a:effectLst/>
            </c:spPr>
          </c:dPt>
          <c:dPt>
            <c:idx val="1"/>
            <c:bubble3D val="0"/>
            <c:spPr>
              <a:solidFill>
                <a:srgbClr val="8B3A62"/>
              </a:solidFill>
              <a:ln w="19050">
                <a:solidFill>
                  <a:schemeClr val="lt1"/>
                </a:solidFill>
              </a:ln>
              <a:effectLst/>
            </c:spPr>
          </c:dPt>
          <c:dPt>
            <c:idx val="2"/>
            <c:bubble3D val="0"/>
            <c:spPr>
              <a:solidFill>
                <a:srgbClr val="F4AAC4"/>
              </a:solidFill>
              <a:ln w="19050">
                <a:solidFill>
                  <a:schemeClr val="lt1"/>
                </a:solidFill>
              </a:ln>
              <a:effectLst/>
            </c:spPr>
          </c:dPt>
          <c:dPt>
            <c:idx val="3"/>
            <c:bubble3D val="0"/>
            <c:spPr>
              <a:solidFill>
                <a:srgbClr val="BA68C8"/>
              </a:solidFill>
              <a:ln w="19050">
                <a:solidFill>
                  <a:schemeClr val="lt1"/>
                </a:solidFill>
              </a:ln>
              <a:effectLst/>
            </c:spPr>
          </c:dPt>
          <c:dLbls>
            <c:dLbl>
              <c:idx val="0"/>
              <c:layout>
                <c:manualLayout>
                  <c:x val="0.17246654602081968"/>
                  <c:y val="-9.7642259508841756E-2"/>
                </c:manualLayout>
              </c:layout>
              <c:tx>
                <c:rich>
                  <a:bodyPr/>
                  <a:lstStyle/>
                  <a:p>
                    <a:fld id="{F847155A-813A-4836-8155-AADEE052DF9C}" type="CATEGORYNAME">
                      <a:rPr lang="en-US" sz="1100"/>
                      <a:pPr/>
                      <a:t>[CATEGORY NAME]</a:t>
                    </a:fld>
                    <a:r>
                      <a:rPr lang="en-US" sz="1100" baseline="0"/>
                      <a:t> </a:t>
                    </a:r>
                    <a:fld id="{1F9B4318-AA18-48D5-9B4C-8ABAF0D68A04}" type="VALUE">
                      <a:rPr lang="en-US" sz="1100" baseline="0"/>
                      <a:pPr/>
                      <a:t>[VALUE]</a:t>
                    </a:fld>
                    <a:endParaRPr lang="en-US" sz="1100"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Lst>
            </c:dLbl>
            <c:dLbl>
              <c:idx val="1"/>
              <c:layout>
                <c:manualLayout>
                  <c:x val="0.16269475469113009"/>
                  <c:y val="0.10395766812898549"/>
                </c:manualLayout>
              </c:layout>
              <c:tx>
                <c:rich>
                  <a:bodyPr rot="0" spcFirstLastPara="1" vertOverflow="ellipsis"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mn-lt"/>
                        <a:ea typeface="+mn-ea"/>
                        <a:cs typeface="+mn-cs"/>
                      </a:defRPr>
                    </a:pPr>
                    <a:fld id="{76C89728-635B-4923-B39F-7738589F1C58}" type="CATEGORYNAME">
                      <a:rPr lang="en-US" sz="1100"/>
                      <a:pPr>
                        <a:defRPr sz="1100" b="1"/>
                      </a:pPr>
                      <a:t>[CATEGORY NAME]</a:t>
                    </a:fld>
                    <a:endParaRPr lang="en-US" sz="1100" baseline="0"/>
                  </a:p>
                  <a:p>
                    <a:pPr>
                      <a:defRPr sz="1100" b="1"/>
                    </a:pPr>
                    <a:r>
                      <a:rPr lang="en-US" sz="1100" baseline="0"/>
                      <a:t> </a:t>
                    </a:r>
                    <a:fld id="{97C9E82D-CD0D-472F-B6E8-7D3F1C4051DB}" type="VALUE">
                      <a:rPr lang="en-US" sz="1100" baseline="0"/>
                      <a:pPr>
                        <a:defRPr sz="1100" b="1"/>
                      </a:pPr>
                      <a:t>[VALUE]</a:t>
                    </a:fld>
                    <a:endParaRPr lang="en-US" sz="1100" baseline="0"/>
                  </a:p>
                </c:rich>
              </c:tx>
              <c:spPr>
                <a:solidFill>
                  <a:schemeClr val="bg1"/>
                </a:solid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17562022497926127"/>
                      <c:h val="0.14161783727556421"/>
                    </c:manualLayout>
                  </c15:layout>
                  <c15:dlblFieldTable/>
                  <c15:showDataLabelsRange val="0"/>
                </c:ext>
              </c:extLst>
            </c:dLbl>
            <c:dLbl>
              <c:idx val="2"/>
              <c:layout>
                <c:manualLayout>
                  <c:x val="-0.14739706149891588"/>
                  <c:y val="5.1112658857582198E-2"/>
                </c:manualLayout>
              </c:layout>
              <c:tx>
                <c:rich>
                  <a:bodyPr/>
                  <a:lstStyle/>
                  <a:p>
                    <a:fld id="{681DD791-50C5-4767-BA6B-11EF15536771}" type="CATEGORYNAME">
                      <a:rPr lang="en-US" sz="1100"/>
                      <a:pPr/>
                      <a:t>[CATEGORY NAME]</a:t>
                    </a:fld>
                    <a:r>
                      <a:rPr lang="en-US" sz="1100" baseline="0"/>
                      <a:t> </a:t>
                    </a:r>
                    <a:fld id="{9714A88C-DF52-4FD8-BDD5-E8592E71FF26}" type="VALUE">
                      <a:rPr lang="en-US" sz="1100" baseline="0"/>
                      <a:pPr/>
                      <a:t>[VALUE]</a:t>
                    </a:fld>
                    <a:endParaRPr lang="en-US" sz="1100"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Lst>
            </c:dLbl>
            <c:dLbl>
              <c:idx val="3"/>
              <c:layout>
                <c:manualLayout>
                  <c:x val="-0.14168945097435015"/>
                  <c:y val="-0.10672190312514133"/>
                </c:manualLayout>
              </c:layout>
              <c:tx>
                <c:rich>
                  <a:bodyPr/>
                  <a:lstStyle/>
                  <a:p>
                    <a:fld id="{C13F4743-FFF3-4320-B596-8A4DCCB42DB3}" type="CATEGORYNAME">
                      <a:rPr lang="en-US" sz="1100"/>
                      <a:pPr/>
                      <a:t>[CATEGORY NAME]</a:t>
                    </a:fld>
                    <a:r>
                      <a:rPr lang="en-US" sz="1100" baseline="0"/>
                      <a:t> </a:t>
                    </a:r>
                    <a:fld id="{10BE0BD9-90C6-4DF2-83F5-AF8CA341F9D5}" type="VALUE">
                      <a:rPr lang="en-US" sz="1100" baseline="0"/>
                      <a:pPr/>
                      <a:t>[VALUE]</a:t>
                    </a:fld>
                    <a:endParaRPr lang="en-US" sz="1100"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Table'!$E$22:$E$26</c:f>
              <c:strCache>
                <c:ptCount val="4"/>
                <c:pt idx="0">
                  <c:v>Beauty Salon</c:v>
                </c:pt>
                <c:pt idx="1">
                  <c:v>Mall</c:v>
                </c:pt>
                <c:pt idx="2">
                  <c:v>Online</c:v>
                </c:pt>
                <c:pt idx="3">
                  <c:v>Retail Store</c:v>
                </c:pt>
              </c:strCache>
            </c:strRef>
          </c:cat>
          <c:val>
            <c:numRef>
              <c:f>'Pivot Table'!$F$22:$F$26</c:f>
              <c:numCache>
                <c:formatCode>General</c:formatCode>
                <c:ptCount val="4"/>
                <c:pt idx="0">
                  <c:v>175949.01</c:v>
                </c:pt>
                <c:pt idx="1">
                  <c:v>189931.46</c:v>
                </c:pt>
                <c:pt idx="2">
                  <c:v>224882.6</c:v>
                </c:pt>
                <c:pt idx="3">
                  <c:v>202425.43</c:v>
                </c:pt>
              </c:numCache>
            </c:numRef>
          </c:val>
          <c:extLst>
            <c:ext xmlns:c16="http://schemas.microsoft.com/office/drawing/2014/chart" uri="{C3380CC4-5D6E-409C-BE32-E72D297353CC}">
              <c16:uniqueId val="{00000009-5BF9-430E-9793-6BFE1A2A95E7}"/>
            </c:ext>
          </c:extLst>
        </c:ser>
        <c:dLbls>
          <c:showLegendKey val="0"/>
          <c:showVal val="1"/>
          <c:showCatName val="0"/>
          <c:showSerName val="0"/>
          <c:showPercent val="0"/>
          <c:showBubbleSize val="0"/>
          <c:showLeaderLines val="1"/>
        </c:dLbls>
        <c:firstSliceAng val="3"/>
        <c:holeSize val="5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CEAF0"/>
    </a:solidFill>
    <a:ln w="9525" cap="flat" cmpd="sng" algn="ctr">
      <a:solidFill>
        <a:schemeClr val="tx1"/>
      </a:solidFill>
      <a:round/>
    </a:ln>
    <a:effectLst/>
    <a:scene3d>
      <a:camera prst="orthographicFront"/>
      <a:lightRig rig="threePt" dir="t"/>
    </a:scene3d>
    <a:sp3d prstMaterial="plastic"/>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[makeup_sales_dataset_clean.xlsx]Pivot Table!PivotTable3</c:name>
    <c:fmtId val="2"/>
  </c:pivotSource>
  <c:chart>
    <c:title>
      <c:tx>
        <c:rich>
          <a:bodyPr rot="0" spcFirstLastPara="1" vertOverflow="ellipsis" vert="horz" wrap="square" anchor="ctr" anchorCtr="1"/>
          <a:lstStyle/>
          <a:p>
            <a:pPr>
              <a:defRPr sz="2000" b="1" i="1" u="none" strike="noStrike" kern="1200" spc="0" baseline="0">
                <a:solidFill>
                  <a:schemeClr val="tx1">
                    <a:lumMod val="65000"/>
                    <a:lumOff val="35000"/>
                  </a:schemeClr>
                </a:solidFill>
                <a:latin typeface="+mn-lt"/>
                <a:ea typeface="+mn-ea"/>
                <a:cs typeface="+mn-cs"/>
              </a:defRPr>
            </a:pPr>
            <a:r>
              <a:rPr lang="en-US" sz="2000" b="1" i="1"/>
              <a:t>Brand Wise Sales Performance</a:t>
            </a:r>
          </a:p>
        </c:rich>
      </c:tx>
      <c:layout>
        <c:manualLayout>
          <c:xMode val="edge"/>
          <c:yMode val="edge"/>
          <c:x val="0.18578610147920849"/>
          <c:y val="7.4485798725295784E-3"/>
        </c:manualLayout>
      </c:layout>
      <c:overlay val="0"/>
      <c:spPr>
        <a:noFill/>
        <a:ln>
          <a:noFill/>
        </a:ln>
        <a:effectLst/>
      </c:spPr>
      <c:txPr>
        <a:bodyPr rot="0" spcFirstLastPara="1" vertOverflow="ellipsis" vert="horz" wrap="square" anchor="ctr" anchorCtr="1"/>
        <a:lstStyle/>
        <a:p>
          <a:pPr>
            <a:defRPr sz="2000" b="1" i="1"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D5F8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73911607713913"/>
          <c:y val="0.14823698671250629"/>
          <c:w val="0.83382603943624434"/>
          <c:h val="0.82567021814322805"/>
        </c:manualLayout>
      </c:layout>
      <c:barChart>
        <c:barDir val="bar"/>
        <c:grouping val="clustered"/>
        <c:varyColors val="0"/>
        <c:ser>
          <c:idx val="0"/>
          <c:order val="0"/>
          <c:tx>
            <c:strRef>
              <c:f>'Pivot Table'!$B$9</c:f>
              <c:strCache>
                <c:ptCount val="1"/>
                <c:pt idx="0">
                  <c:v>Total</c:v>
                </c:pt>
              </c:strCache>
            </c:strRef>
          </c:tx>
          <c:spPr>
            <a:solidFill>
              <a:srgbClr val="BD5F8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Table'!$A$10:$A$18</c:f>
              <c:strCache>
                <c:ptCount val="8"/>
                <c:pt idx="0">
                  <c:v>MAC</c:v>
                </c:pt>
                <c:pt idx="1">
                  <c:v>L'Oreal</c:v>
                </c:pt>
                <c:pt idx="2">
                  <c:v>Dior</c:v>
                </c:pt>
                <c:pt idx="3">
                  <c:v>Fenty Beauty</c:v>
                </c:pt>
                <c:pt idx="4">
                  <c:v>NARS</c:v>
                </c:pt>
                <c:pt idx="5">
                  <c:v>Estee Lauder</c:v>
                </c:pt>
                <c:pt idx="6">
                  <c:v>Huda Beauty</c:v>
                </c:pt>
                <c:pt idx="7">
                  <c:v>Maybelline</c:v>
                </c:pt>
              </c:strCache>
            </c:strRef>
          </c:cat>
          <c:val>
            <c:numRef>
              <c:f>'Pivot Table'!$B$10:$B$18</c:f>
              <c:numCache>
                <c:formatCode>General</c:formatCode>
                <c:ptCount val="8"/>
                <c:pt idx="0">
                  <c:v>155245.81</c:v>
                </c:pt>
                <c:pt idx="1">
                  <c:v>123593.2</c:v>
                </c:pt>
                <c:pt idx="2">
                  <c:v>99810.99</c:v>
                </c:pt>
                <c:pt idx="3">
                  <c:v>95001.67</c:v>
                </c:pt>
                <c:pt idx="4">
                  <c:v>88792.62</c:v>
                </c:pt>
                <c:pt idx="5">
                  <c:v>86983.48</c:v>
                </c:pt>
                <c:pt idx="6">
                  <c:v>76357.17</c:v>
                </c:pt>
                <c:pt idx="7">
                  <c:v>67403.56</c:v>
                </c:pt>
              </c:numCache>
            </c:numRef>
          </c:val>
          <c:extLst>
            <c:ext xmlns:c16="http://schemas.microsoft.com/office/drawing/2014/chart" uri="{C3380CC4-5D6E-409C-BE32-E72D297353CC}">
              <c16:uniqueId val="{00000001-3A0B-4BA7-B378-E8CEBC91F407}"/>
            </c:ext>
          </c:extLst>
        </c:ser>
        <c:dLbls>
          <c:dLblPos val="outEnd"/>
          <c:showLegendKey val="0"/>
          <c:showVal val="1"/>
          <c:showCatName val="0"/>
          <c:showSerName val="0"/>
          <c:showPercent val="0"/>
          <c:showBubbleSize val="0"/>
        </c:dLbls>
        <c:gapWidth val="50"/>
        <c:axId val="618661024"/>
        <c:axId val="618663104"/>
      </c:barChart>
      <c:catAx>
        <c:axId val="6186610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618663104"/>
        <c:crosses val="autoZero"/>
        <c:auto val="1"/>
        <c:lblAlgn val="ctr"/>
        <c:lblOffset val="100"/>
        <c:noMultiLvlLbl val="0"/>
      </c:catAx>
      <c:valAx>
        <c:axId val="618663104"/>
        <c:scaling>
          <c:orientation val="minMax"/>
        </c:scaling>
        <c:delete val="1"/>
        <c:axPos val="b"/>
        <c:majorGridlines>
          <c:spPr>
            <a:ln w="9525" cap="flat" cmpd="sng" algn="ctr">
              <a:solidFill>
                <a:schemeClr val="bg2">
                  <a:lumMod val="75000"/>
                  <a:alpha val="50000"/>
                </a:schemeClr>
              </a:solidFill>
              <a:prstDash val="lgDashDot"/>
              <a:round/>
            </a:ln>
            <a:effectLst/>
          </c:spPr>
        </c:majorGridlines>
        <c:numFmt formatCode="General" sourceLinked="1"/>
        <c:majorTickMark val="out"/>
        <c:minorTickMark val="none"/>
        <c:tickLblPos val="nextTo"/>
        <c:crossAx val="618661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CEAF0"/>
    </a:solidFill>
    <a:ln w="9525" cap="flat" cmpd="sng" algn="ctr">
      <a:solidFill>
        <a:schemeClr val="tx1"/>
      </a:solidFill>
      <a:round/>
    </a:ln>
    <a:effectLst/>
    <a:scene3d>
      <a:camera prst="orthographicFront"/>
      <a:lightRig rig="threePt" dir="t"/>
    </a:scene3d>
    <a:sp3d prstMaterial="plastic"/>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[makeup_sales_dataset_clean.xlsx]Pivot Table!PivotTable4</c:name>
    <c:fmtId val="7"/>
  </c:pivotSource>
  <c:chart>
    <c:title>
      <c:tx>
        <c:rich>
          <a:bodyPr rot="0" spcFirstLastPara="1" vertOverflow="ellipsis" vert="horz" wrap="square" anchor="ctr" anchorCtr="1"/>
          <a:lstStyle/>
          <a:p>
            <a:pPr>
              <a:defRPr lang="en-US" sz="2000" b="1" i="1" u="none" strike="noStrike" kern="1200" spc="0" baseline="0">
                <a:solidFill>
                  <a:schemeClr val="tx1"/>
                </a:solidFill>
                <a:latin typeface="+mn-lt"/>
                <a:ea typeface="+mn-ea"/>
                <a:cs typeface="+mn-cs"/>
              </a:defRPr>
            </a:pPr>
            <a:r>
              <a:rPr lang="en-US" sz="2000" b="1" i="1"/>
              <a:t>  Country Wise Revenue Performance</a:t>
            </a:r>
          </a:p>
        </c:rich>
      </c:tx>
      <c:overlay val="0"/>
      <c:spPr>
        <a:noFill/>
        <a:ln>
          <a:noFill/>
        </a:ln>
        <a:effectLst/>
      </c:spPr>
      <c:txPr>
        <a:bodyPr rot="0" spcFirstLastPara="1" vertOverflow="ellipsis" vert="horz" wrap="square" anchor="ctr" anchorCtr="1"/>
        <a:lstStyle/>
        <a:p>
          <a:pPr>
            <a:defRPr lang="en-US" sz="2000" b="1" i="1"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D5F8E"/>
          </a:solidFill>
          <a:ln>
            <a:noFill/>
          </a:ln>
          <a:effectLst/>
        </c:spPr>
        <c:marker>
          <c:symbol val="none"/>
        </c:marker>
        <c:dLbl>
          <c:idx val="0"/>
          <c:spPr>
            <a:no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D5F8E"/>
          </a:solidFill>
          <a:ln>
            <a:noFill/>
          </a:ln>
          <a:effectLst/>
        </c:spPr>
        <c:dLbl>
          <c:idx val="0"/>
          <c:layout>
            <c:manualLayout>
              <c:x val="8.3382387897260938E-5"/>
              <c:y val="-0.21046557024592291"/>
            </c:manualLayout>
          </c:layout>
          <c:spPr>
            <a:no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BD5F8E"/>
          </a:solidFill>
          <a:ln>
            <a:noFill/>
          </a:ln>
          <a:effectLst/>
        </c:spPr>
        <c:dLbl>
          <c:idx val="0"/>
          <c:layout>
            <c:manualLayout>
              <c:x val="2.6732144657241417E-3"/>
              <c:y val="-0.2225944750418104"/>
            </c:manualLayout>
          </c:layout>
          <c:spPr>
            <a:no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BD5F8E"/>
          </a:solidFill>
          <a:ln>
            <a:noFill/>
          </a:ln>
          <a:effectLst/>
        </c:spPr>
        <c:dLbl>
          <c:idx val="0"/>
          <c:layout>
            <c:manualLayout>
              <c:x val="2.5439925063708707E-3"/>
              <c:y val="-0.23832497126389821"/>
            </c:manualLayout>
          </c:layout>
          <c:spPr>
            <a:no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BD5F8E"/>
          </a:solidFill>
          <a:ln>
            <a:noFill/>
          </a:ln>
          <a:effectLst/>
        </c:spPr>
        <c:dLbl>
          <c:idx val="0"/>
          <c:layout>
            <c:manualLayout>
              <c:x val="5.1938923516215959E-3"/>
              <c:y val="-0.24155089224836168"/>
            </c:manualLayout>
          </c:layout>
          <c:spPr>
            <a:no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BD5F8E"/>
          </a:solidFill>
          <a:ln>
            <a:noFill/>
          </a:ln>
          <a:effectLst/>
        </c:spPr>
        <c:dLbl>
          <c:idx val="0"/>
          <c:layout>
            <c:manualLayout>
              <c:x val="2.5916988477051798E-3"/>
              <c:y val="-0.24745261040019897"/>
            </c:manualLayout>
          </c:layout>
          <c:spPr>
            <a:no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BD5F8E"/>
          </a:solidFill>
          <a:ln>
            <a:noFill/>
          </a:ln>
          <a:effectLst/>
        </c:spPr>
        <c:dLbl>
          <c:idx val="0"/>
          <c:layout>
            <c:manualLayout>
              <c:x val="2.5753299525146391E-3"/>
              <c:y val="-0.27966199226095606"/>
            </c:manualLayout>
          </c:layout>
          <c:spPr>
            <a:no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BD5F8E"/>
          </a:solidFill>
          <a:ln>
            <a:noFill/>
          </a:ln>
          <a:effectLst/>
        </c:spPr>
        <c:dLbl>
          <c:idx val="0"/>
          <c:layout>
            <c:manualLayout>
              <c:x val="2.6731718053290263E-3"/>
              <c:y val="-0.29292049746447152"/>
            </c:manualLayout>
          </c:layout>
          <c:spPr>
            <a:no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BD5F8E"/>
          </a:solidFill>
          <a:ln>
            <a:noFill/>
          </a:ln>
          <a:effectLst/>
        </c:spPr>
        <c:dLbl>
          <c:idx val="0"/>
          <c:layout>
            <c:manualLayout>
              <c:x val="-8.2120963144442706E-5"/>
              <c:y val="-0.30213974576676034"/>
            </c:manualLayout>
          </c:layout>
          <c:spPr>
            <a:no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Table'!$F$9</c:f>
              <c:strCache>
                <c:ptCount val="1"/>
                <c:pt idx="0">
                  <c:v>Total</c:v>
                </c:pt>
              </c:strCache>
            </c:strRef>
          </c:tx>
          <c:spPr>
            <a:solidFill>
              <a:srgbClr val="BD5F8E"/>
            </a:solidFill>
            <a:ln>
              <a:noFill/>
            </a:ln>
            <a:effectLst/>
          </c:spPr>
          <c:invertIfNegative val="0"/>
          <c:dPt>
            <c:idx val="0"/>
            <c:invertIfNegative val="0"/>
            <c:bubble3D val="0"/>
          </c:dPt>
          <c:dPt>
            <c:idx val="1"/>
            <c:invertIfNegative val="0"/>
            <c:bubble3D val="0"/>
          </c:dPt>
          <c:dPt>
            <c:idx val="2"/>
            <c:invertIfNegative val="0"/>
            <c:bubble3D val="0"/>
          </c:dPt>
          <c:dPt>
            <c:idx val="3"/>
            <c:invertIfNegative val="0"/>
            <c:bubble3D val="0"/>
          </c:dPt>
          <c:dPt>
            <c:idx val="4"/>
            <c:invertIfNegative val="0"/>
            <c:bubble3D val="0"/>
          </c:dPt>
          <c:dPt>
            <c:idx val="5"/>
            <c:invertIfNegative val="0"/>
            <c:bubble3D val="0"/>
          </c:dPt>
          <c:dPt>
            <c:idx val="6"/>
            <c:invertIfNegative val="0"/>
            <c:bubble3D val="0"/>
          </c:dPt>
          <c:dPt>
            <c:idx val="7"/>
            <c:invertIfNegative val="0"/>
            <c:bubble3D val="0"/>
          </c:dPt>
          <c:dLbls>
            <c:dLbl>
              <c:idx val="0"/>
              <c:layout>
                <c:manualLayout>
                  <c:x val="2.6732144657241417E-3"/>
                  <c:y val="-0.2225944750418104"/>
                </c:manualLayout>
              </c:layout>
              <c:dLblPos val="ctr"/>
              <c:showLegendKey val="0"/>
              <c:showVal val="1"/>
              <c:showCatName val="0"/>
              <c:showSerName val="0"/>
              <c:showPercent val="0"/>
              <c:showBubbleSize val="0"/>
              <c:extLst>
                <c:ext xmlns:c15="http://schemas.microsoft.com/office/drawing/2012/chart" uri="{CE6537A1-D6FC-4f65-9D91-7224C49458BB}"/>
              </c:extLst>
            </c:dLbl>
            <c:dLbl>
              <c:idx val="1"/>
              <c:layout>
                <c:manualLayout>
                  <c:x val="8.3382387897260938E-5"/>
                  <c:y val="-0.21046557024592291"/>
                </c:manualLayout>
              </c:layout>
              <c:dLblPos val="ctr"/>
              <c:showLegendKey val="0"/>
              <c:showVal val="1"/>
              <c:showCatName val="0"/>
              <c:showSerName val="0"/>
              <c:showPercent val="0"/>
              <c:showBubbleSize val="0"/>
              <c:extLst>
                <c:ext xmlns:c15="http://schemas.microsoft.com/office/drawing/2012/chart" uri="{CE6537A1-D6FC-4f65-9D91-7224C49458BB}"/>
              </c:extLst>
            </c:dLbl>
            <c:dLbl>
              <c:idx val="2"/>
              <c:layout>
                <c:manualLayout>
                  <c:x val="2.5439925063708707E-3"/>
                  <c:y val="-0.23832497126389821"/>
                </c:manualLayout>
              </c:layout>
              <c:dLblPos val="ctr"/>
              <c:showLegendKey val="0"/>
              <c:showVal val="1"/>
              <c:showCatName val="0"/>
              <c:showSerName val="0"/>
              <c:showPercent val="0"/>
              <c:showBubbleSize val="0"/>
              <c:extLst>
                <c:ext xmlns:c15="http://schemas.microsoft.com/office/drawing/2012/chart" uri="{CE6537A1-D6FC-4f65-9D91-7224C49458BB}"/>
              </c:extLst>
            </c:dLbl>
            <c:dLbl>
              <c:idx val="3"/>
              <c:layout>
                <c:manualLayout>
                  <c:x val="2.5753299525146391E-3"/>
                  <c:y val="-0.27966199226095606"/>
                </c:manualLayout>
              </c:layout>
              <c:dLblPos val="ctr"/>
              <c:showLegendKey val="0"/>
              <c:showVal val="1"/>
              <c:showCatName val="0"/>
              <c:showSerName val="0"/>
              <c:showPercent val="0"/>
              <c:showBubbleSize val="0"/>
              <c:extLst>
                <c:ext xmlns:c15="http://schemas.microsoft.com/office/drawing/2012/chart" uri="{CE6537A1-D6FC-4f65-9D91-7224C49458BB}"/>
              </c:extLst>
            </c:dLbl>
            <c:dLbl>
              <c:idx val="4"/>
              <c:layout>
                <c:manualLayout>
                  <c:x val="-8.2120963144442706E-5"/>
                  <c:y val="-0.30213974576676034"/>
                </c:manualLayout>
              </c:layout>
              <c:dLblPos val="ctr"/>
              <c:showLegendKey val="0"/>
              <c:showVal val="1"/>
              <c:showCatName val="0"/>
              <c:showSerName val="0"/>
              <c:showPercent val="0"/>
              <c:showBubbleSize val="0"/>
              <c:extLst>
                <c:ext xmlns:c15="http://schemas.microsoft.com/office/drawing/2012/chart" uri="{CE6537A1-D6FC-4f65-9D91-7224C49458BB}"/>
              </c:extLst>
            </c:dLbl>
            <c:dLbl>
              <c:idx val="5"/>
              <c:layout>
                <c:manualLayout>
                  <c:x val="5.1938923516215959E-3"/>
                  <c:y val="-0.24155089224836168"/>
                </c:manualLayout>
              </c:layout>
              <c:dLblPos val="ctr"/>
              <c:showLegendKey val="0"/>
              <c:showVal val="1"/>
              <c:showCatName val="0"/>
              <c:showSerName val="0"/>
              <c:showPercent val="0"/>
              <c:showBubbleSize val="0"/>
              <c:extLst>
                <c:ext xmlns:c15="http://schemas.microsoft.com/office/drawing/2012/chart" uri="{CE6537A1-D6FC-4f65-9D91-7224C49458BB}"/>
              </c:extLst>
            </c:dLbl>
            <c:dLbl>
              <c:idx val="6"/>
              <c:layout>
                <c:manualLayout>
                  <c:x val="2.6731718053290263E-3"/>
                  <c:y val="-0.29292049746447152"/>
                </c:manualLayout>
              </c:layout>
              <c:dLblPos val="ctr"/>
              <c:showLegendKey val="0"/>
              <c:showVal val="1"/>
              <c:showCatName val="0"/>
              <c:showSerName val="0"/>
              <c:showPercent val="0"/>
              <c:showBubbleSize val="0"/>
              <c:extLst>
                <c:ext xmlns:c15="http://schemas.microsoft.com/office/drawing/2012/chart" uri="{CE6537A1-D6FC-4f65-9D91-7224C49458BB}"/>
              </c:extLst>
            </c:dLbl>
            <c:dLbl>
              <c:idx val="7"/>
              <c:layout>
                <c:manualLayout>
                  <c:x val="2.5916988477051798E-3"/>
                  <c:y val="-0.24745261040019897"/>
                </c:manualLayout>
              </c:layout>
              <c:dLblPos val="ct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Table'!$E$10:$E$18</c:f>
              <c:strCache>
                <c:ptCount val="8"/>
                <c:pt idx="0">
                  <c:v>Canada</c:v>
                </c:pt>
                <c:pt idx="1">
                  <c:v>France</c:v>
                </c:pt>
                <c:pt idx="2">
                  <c:v>Germany</c:v>
                </c:pt>
                <c:pt idx="3">
                  <c:v>India</c:v>
                </c:pt>
                <c:pt idx="4">
                  <c:v>Saudi Arabia</c:v>
                </c:pt>
                <c:pt idx="5">
                  <c:v>UAE</c:v>
                </c:pt>
                <c:pt idx="6">
                  <c:v>UK</c:v>
                </c:pt>
                <c:pt idx="7">
                  <c:v>USA</c:v>
                </c:pt>
              </c:strCache>
            </c:strRef>
          </c:cat>
          <c:val>
            <c:numRef>
              <c:f>'Pivot Table'!$F$10:$F$18</c:f>
              <c:numCache>
                <c:formatCode>General</c:formatCode>
                <c:ptCount val="8"/>
                <c:pt idx="0">
                  <c:v>85349.39</c:v>
                </c:pt>
                <c:pt idx="1">
                  <c:v>80364.06</c:v>
                </c:pt>
                <c:pt idx="2">
                  <c:v>92125.73</c:v>
                </c:pt>
                <c:pt idx="3">
                  <c:v>109638.23</c:v>
                </c:pt>
                <c:pt idx="4">
                  <c:v>120778.08</c:v>
                </c:pt>
                <c:pt idx="5">
                  <c:v>93567.94</c:v>
                </c:pt>
                <c:pt idx="6">
                  <c:v>115359.56</c:v>
                </c:pt>
                <c:pt idx="7">
                  <c:v>96005.51</c:v>
                </c:pt>
              </c:numCache>
            </c:numRef>
          </c:val>
          <c:extLst>
            <c:ext xmlns:c16="http://schemas.microsoft.com/office/drawing/2014/chart" uri="{C3380CC4-5D6E-409C-BE32-E72D297353CC}">
              <c16:uniqueId val="{00000009-3FF4-4C33-990F-8A1ECC581213}"/>
            </c:ext>
          </c:extLst>
        </c:ser>
        <c:dLbls>
          <c:dLblPos val="inEnd"/>
          <c:showLegendKey val="0"/>
          <c:showVal val="1"/>
          <c:showCatName val="0"/>
          <c:showSerName val="0"/>
          <c:showPercent val="0"/>
          <c:showBubbleSize val="0"/>
        </c:dLbls>
        <c:gapWidth val="150"/>
        <c:overlap val="100"/>
        <c:axId val="1489129536"/>
        <c:axId val="1489145344"/>
      </c:barChart>
      <c:catAx>
        <c:axId val="1489129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489145344"/>
        <c:crosses val="autoZero"/>
        <c:auto val="1"/>
        <c:lblAlgn val="ctr"/>
        <c:lblOffset val="100"/>
        <c:noMultiLvlLbl val="0"/>
      </c:catAx>
      <c:valAx>
        <c:axId val="1489145344"/>
        <c:scaling>
          <c:orientation val="minMax"/>
        </c:scaling>
        <c:delete val="1"/>
        <c:axPos val="l"/>
        <c:majorGridlines>
          <c:spPr>
            <a:ln w="9525" cap="flat" cmpd="sng" algn="ctr">
              <a:solidFill>
                <a:schemeClr val="bg2">
                  <a:lumMod val="75000"/>
                  <a:alpha val="50000"/>
                </a:schemeClr>
              </a:solidFill>
              <a:prstDash val="lgDashDot"/>
              <a:round/>
            </a:ln>
            <a:effectLst/>
          </c:spPr>
        </c:majorGridlines>
        <c:numFmt formatCode="General" sourceLinked="1"/>
        <c:majorTickMark val="none"/>
        <c:minorTickMark val="none"/>
        <c:tickLblPos val="nextTo"/>
        <c:crossAx val="14891295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CEAF0"/>
    </a:solidFill>
    <a:ln w="9525" cap="flat" cmpd="sng" algn="ctr">
      <a:solidFill>
        <a:schemeClr val="tx1"/>
      </a:solidFill>
      <a:prstDash val="solid"/>
      <a:round/>
    </a:ln>
    <a:effectLst/>
    <a:scene3d>
      <a:camera prst="orthographicFront"/>
      <a:lightRig rig="threePt" dir="t"/>
    </a:scene3d>
    <a:sp3d prstMaterial="plastic"/>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[makeup_sales_dataset_clean.xlsx]Pivot Table!PivotTable2</c:name>
    <c:fmtId val="6"/>
  </c:pivotSource>
  <c:chart>
    <c:title>
      <c:tx>
        <c:rich>
          <a:bodyPr rot="0" spcFirstLastPara="1" vertOverflow="ellipsis" vert="horz" wrap="square" anchor="ctr" anchorCtr="1"/>
          <a:lstStyle/>
          <a:p>
            <a:pPr>
              <a:defRPr sz="2000" b="1" i="0" u="none" strike="noStrike" kern="1200" baseline="0">
                <a:solidFill>
                  <a:schemeClr val="tx2"/>
                </a:solidFill>
                <a:latin typeface="+mn-lt"/>
                <a:ea typeface="+mn-ea"/>
                <a:cs typeface="+mn-cs"/>
              </a:defRPr>
            </a:pPr>
            <a:r>
              <a:rPr lang="en-US" sz="2000" b="1" i="1" baseline="0">
                <a:effectLst/>
              </a:rPr>
              <a:t>Product Type Performance</a:t>
            </a:r>
            <a:endParaRPr lang="en-US" sz="2000">
              <a:effectLst/>
            </a:endParaRPr>
          </a:p>
        </c:rich>
      </c:tx>
      <c:layout>
        <c:manualLayout>
          <c:xMode val="edge"/>
          <c:yMode val="edge"/>
          <c:x val="0.24486769376793685"/>
          <c:y val="0"/>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BD5F8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4"/>
            </a:solidFill>
            <a:round/>
          </a:ln>
          <a:effectLst/>
        </c:spPr>
        <c:marker>
          <c:symbol val="circle"/>
          <c:size val="6"/>
          <c:spPr>
            <a:solidFill>
              <a:srgbClr val="8B3A62"/>
            </a:solidFill>
            <a:ln w="12700">
              <a:solidFill>
                <a:schemeClr val="accent4"/>
              </a:solidFill>
              <a:round/>
            </a:ln>
            <a:effectLst/>
          </c:spPr>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4"/>
            </a:solidFill>
            <a:round/>
          </a:ln>
          <a:effectLst/>
        </c:spPr>
        <c:marker>
          <c:symbol val="circle"/>
          <c:size val="6"/>
          <c:spPr>
            <a:solidFill>
              <a:srgbClr val="8B3A62"/>
            </a:solidFill>
            <a:ln w="12700">
              <a:solidFill>
                <a:schemeClr val="accent4"/>
              </a:solidFill>
              <a:round/>
            </a:ln>
            <a:effectLst/>
          </c:spPr>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4"/>
            </a:solidFill>
            <a:round/>
          </a:ln>
          <a:effectLst/>
        </c:spPr>
        <c:marker>
          <c:symbol val="circle"/>
          <c:size val="6"/>
          <c:spPr>
            <a:solidFill>
              <a:srgbClr val="8B3A62"/>
            </a:solidFill>
            <a:ln w="12700">
              <a:solidFill>
                <a:schemeClr val="accent4"/>
              </a:solidFill>
              <a:round/>
            </a:ln>
            <a:effectLst/>
          </c:spPr>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4"/>
            </a:solidFill>
            <a:round/>
          </a:ln>
          <a:effectLst/>
        </c:spPr>
        <c:marker>
          <c:symbol val="circle"/>
          <c:size val="6"/>
          <c:spPr>
            <a:solidFill>
              <a:srgbClr val="8B3A62"/>
            </a:solidFill>
            <a:ln w="12700">
              <a:solidFill>
                <a:schemeClr val="accent4"/>
              </a:solidFill>
              <a:round/>
            </a:ln>
            <a:effectLst/>
          </c:spPr>
        </c:marke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rgbClr val="FFC000"/>
            </a:solidFill>
            <a:round/>
          </a:ln>
          <a:effectLst/>
        </c:spPr>
        <c:marker>
          <c:symbol val="circle"/>
          <c:size val="6"/>
          <c:spPr>
            <a:solidFill>
              <a:srgbClr val="8B3A62"/>
            </a:solidFill>
            <a:ln w="12700">
              <a:solidFill>
                <a:srgbClr val="FFC000"/>
              </a:solidFill>
              <a:round/>
            </a:ln>
            <a:effectLst/>
          </c:spPr>
        </c:marke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4"/>
            </a:solidFill>
            <a:round/>
          </a:ln>
          <a:effectLst/>
        </c:spPr>
        <c:marker>
          <c:symbol val="circle"/>
          <c:size val="6"/>
          <c:spPr>
            <a:solidFill>
              <a:srgbClr val="8B3A62"/>
            </a:solidFill>
            <a:ln w="12700">
              <a:solidFill>
                <a:schemeClr val="accent4"/>
              </a:solidFill>
              <a:round/>
            </a:ln>
            <a:effectLst/>
          </c:spPr>
        </c:marke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4"/>
            </a:solidFill>
            <a:round/>
          </a:ln>
          <a:effectLst/>
        </c:spPr>
        <c:marker>
          <c:symbol val="circle"/>
          <c:size val="6"/>
          <c:spPr>
            <a:solidFill>
              <a:srgbClr val="8B3A62"/>
            </a:solidFill>
            <a:ln w="12700">
              <a:solidFill>
                <a:schemeClr val="accent4"/>
              </a:solidFill>
              <a:round/>
            </a:ln>
            <a:effectLst/>
          </c:spPr>
        </c:marker>
      </c:pivotFmt>
    </c:pivotFmts>
    <c:plotArea>
      <c:layout>
        <c:manualLayout>
          <c:layoutTarget val="inner"/>
          <c:xMode val="edge"/>
          <c:yMode val="edge"/>
          <c:x val="0.16803000341128388"/>
          <c:y val="0.19058129120199757"/>
          <c:w val="0.73039692251884258"/>
          <c:h val="0.5763616638218565"/>
        </c:manualLayout>
      </c:layout>
      <c:barChart>
        <c:barDir val="col"/>
        <c:grouping val="clustered"/>
        <c:varyColors val="0"/>
        <c:ser>
          <c:idx val="0"/>
          <c:order val="0"/>
          <c:tx>
            <c:strRef>
              <c:f>'Pivot Table'!$E$29</c:f>
              <c:strCache>
                <c:ptCount val="1"/>
                <c:pt idx="0">
                  <c:v>Total Revenue</c:v>
                </c:pt>
              </c:strCache>
            </c:strRef>
          </c:tx>
          <c:spPr>
            <a:solidFill>
              <a:srgbClr val="BD5F8E"/>
            </a:solidFill>
            <a:ln>
              <a:noFill/>
            </a:ln>
            <a:effectLst/>
          </c:spPr>
          <c:invertIfNegative val="0"/>
          <c:cat>
            <c:strRef>
              <c:f>'Pivot Table'!$D$30:$D$38</c:f>
              <c:strCache>
                <c:ptCount val="8"/>
                <c:pt idx="0">
                  <c:v>Mascara</c:v>
                </c:pt>
                <c:pt idx="1">
                  <c:v>Eyeshadow</c:v>
                </c:pt>
                <c:pt idx="2">
                  <c:v>Eyeliner</c:v>
                </c:pt>
                <c:pt idx="3">
                  <c:v>Highlighter</c:v>
                </c:pt>
                <c:pt idx="4">
                  <c:v>Concealer</c:v>
                </c:pt>
                <c:pt idx="5">
                  <c:v>Foundation</c:v>
                </c:pt>
                <c:pt idx="6">
                  <c:v>Blush</c:v>
                </c:pt>
                <c:pt idx="7">
                  <c:v>Lipstick</c:v>
                </c:pt>
              </c:strCache>
            </c:strRef>
          </c:cat>
          <c:val>
            <c:numRef>
              <c:f>'Pivot Table'!$E$30:$E$38</c:f>
              <c:numCache>
                <c:formatCode>General</c:formatCode>
                <c:ptCount val="8"/>
                <c:pt idx="0">
                  <c:v>116135.07</c:v>
                </c:pt>
                <c:pt idx="1">
                  <c:v>104839.02</c:v>
                </c:pt>
                <c:pt idx="2">
                  <c:v>104735.62</c:v>
                </c:pt>
                <c:pt idx="3">
                  <c:v>99516.43</c:v>
                </c:pt>
                <c:pt idx="4">
                  <c:v>98215.88</c:v>
                </c:pt>
                <c:pt idx="5">
                  <c:v>96756.97</c:v>
                </c:pt>
                <c:pt idx="6">
                  <c:v>89158.26</c:v>
                </c:pt>
                <c:pt idx="7">
                  <c:v>83831.25</c:v>
                </c:pt>
              </c:numCache>
            </c:numRef>
          </c:val>
          <c:extLst>
            <c:ext xmlns:c16="http://schemas.microsoft.com/office/drawing/2014/chart" uri="{C3380CC4-5D6E-409C-BE32-E72D297353CC}">
              <c16:uniqueId val="{0000000F-40D4-4357-BD2E-F0F471D24CBF}"/>
            </c:ext>
          </c:extLst>
        </c:ser>
        <c:ser>
          <c:idx val="1"/>
          <c:order val="1"/>
          <c:tx>
            <c:strRef>
              <c:f>'Pivot Table'!$F$29</c:f>
              <c:strCache>
                <c:ptCount val="1"/>
                <c:pt idx="0">
                  <c:v>Units_Sold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25400">
              <a:noFill/>
            </a:ln>
            <a:effectLst/>
          </c:spPr>
          <c:invertIfNegative val="0"/>
          <c:dPt>
            <c:idx val="1"/>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1750" cap="rnd">
                <a:solidFill>
                  <a:schemeClr val="accent4"/>
                </a:solidFill>
                <a:round/>
              </a:ln>
              <a:effectLst/>
            </c:spPr>
          </c:dPt>
          <c:dPt>
            <c:idx val="2"/>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1750" cap="rnd">
                <a:solidFill>
                  <a:schemeClr val="accent4"/>
                </a:solidFill>
                <a:round/>
              </a:ln>
              <a:effectLst/>
            </c:spPr>
          </c:dPt>
          <c:dPt>
            <c:idx val="3"/>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1750" cap="rnd">
                <a:solidFill>
                  <a:srgbClr val="FFC000"/>
                </a:solidFill>
                <a:round/>
              </a:ln>
              <a:effectLst/>
            </c:spPr>
          </c:dPt>
          <c:dPt>
            <c:idx val="4"/>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1750" cap="rnd">
                <a:solidFill>
                  <a:schemeClr val="accent4"/>
                </a:solidFill>
                <a:round/>
              </a:ln>
              <a:effectLst/>
            </c:spPr>
          </c:dPt>
          <c:dPt>
            <c:idx val="5"/>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1750" cap="rnd">
                <a:solidFill>
                  <a:schemeClr val="accent4"/>
                </a:solidFill>
                <a:round/>
              </a:ln>
              <a:effectLst/>
            </c:spPr>
          </c:dPt>
          <c:dPt>
            <c:idx val="6"/>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1750" cap="rnd">
                <a:solidFill>
                  <a:schemeClr val="accent4"/>
                </a:solidFill>
                <a:round/>
              </a:ln>
              <a:effectLst/>
            </c:spPr>
          </c:dPt>
          <c:dPt>
            <c:idx val="7"/>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1750" cap="rnd">
                <a:solidFill>
                  <a:schemeClr val="accent4"/>
                </a:solidFill>
                <a:round/>
              </a:ln>
              <a:effectLst/>
            </c:spPr>
          </c:dPt>
          <c:cat>
            <c:strRef>
              <c:f>'Pivot Table'!$D$30:$D$38</c:f>
              <c:strCache>
                <c:ptCount val="8"/>
                <c:pt idx="0">
                  <c:v>Mascara</c:v>
                </c:pt>
                <c:pt idx="1">
                  <c:v>Eyeshadow</c:v>
                </c:pt>
                <c:pt idx="2">
                  <c:v>Eyeliner</c:v>
                </c:pt>
                <c:pt idx="3">
                  <c:v>Highlighter</c:v>
                </c:pt>
                <c:pt idx="4">
                  <c:v>Concealer</c:v>
                </c:pt>
                <c:pt idx="5">
                  <c:v>Foundation</c:v>
                </c:pt>
                <c:pt idx="6">
                  <c:v>Blush</c:v>
                </c:pt>
                <c:pt idx="7">
                  <c:v>Lipstick</c:v>
                </c:pt>
              </c:strCache>
            </c:strRef>
          </c:cat>
          <c:val>
            <c:numRef>
              <c:f>'Pivot Table'!$F$30:$F$38</c:f>
              <c:numCache>
                <c:formatCode>General</c:formatCode>
                <c:ptCount val="8"/>
                <c:pt idx="0">
                  <c:v>70</c:v>
                </c:pt>
                <c:pt idx="1">
                  <c:v>69</c:v>
                </c:pt>
                <c:pt idx="2">
                  <c:v>59</c:v>
                </c:pt>
                <c:pt idx="3">
                  <c:v>59</c:v>
                </c:pt>
                <c:pt idx="4">
                  <c:v>59</c:v>
                </c:pt>
                <c:pt idx="5">
                  <c:v>60</c:v>
                </c:pt>
                <c:pt idx="6">
                  <c:v>58</c:v>
                </c:pt>
                <c:pt idx="7">
                  <c:v>66</c:v>
                </c:pt>
              </c:numCache>
            </c:numRef>
          </c:val>
          <c:extLst>
            <c:ext xmlns:c16="http://schemas.microsoft.com/office/drawing/2014/chart" uri="{C3380CC4-5D6E-409C-BE32-E72D297353CC}">
              <c16:uniqueId val="{00000010-40D4-4357-BD2E-F0F471D24CBF}"/>
            </c:ext>
          </c:extLst>
        </c:ser>
        <c:dLbls>
          <c:showLegendKey val="0"/>
          <c:showVal val="0"/>
          <c:showCatName val="0"/>
          <c:showSerName val="0"/>
          <c:showPercent val="0"/>
          <c:showBubbleSize val="0"/>
        </c:dLbls>
        <c:gapWidth val="157"/>
        <c:overlap val="-27"/>
        <c:axId val="1785282032"/>
        <c:axId val="1785272880"/>
      </c:barChart>
      <c:catAx>
        <c:axId val="178528203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2700000" spcFirstLastPara="1" vertOverflow="ellipsis" wrap="square" anchor="ctr" anchorCtr="1"/>
          <a:lstStyle/>
          <a:p>
            <a:pPr>
              <a:defRPr sz="1100" b="0" i="0" u="none" strike="noStrike" kern="1200" baseline="0">
                <a:solidFill>
                  <a:schemeClr val="tx2"/>
                </a:solidFill>
                <a:latin typeface="+mn-lt"/>
                <a:ea typeface="+mn-ea"/>
                <a:cs typeface="+mn-cs"/>
              </a:defRPr>
            </a:pPr>
            <a:endParaRPr lang="en-US"/>
          </a:p>
        </c:txPr>
        <c:crossAx val="1785272880"/>
        <c:crosses val="autoZero"/>
        <c:auto val="1"/>
        <c:lblAlgn val="ctr"/>
        <c:lblOffset val="100"/>
        <c:noMultiLvlLbl val="0"/>
      </c:catAx>
      <c:valAx>
        <c:axId val="1785272880"/>
        <c:scaling>
          <c:orientation val="minMax"/>
        </c:scaling>
        <c:delete val="0"/>
        <c:axPos val="l"/>
        <c:majorGridlines>
          <c:spPr>
            <a:ln w="9525" cap="flat" cmpd="sng" algn="ctr">
              <a:solidFill>
                <a:schemeClr val="bg2">
                  <a:lumMod val="75000"/>
                  <a:alpha val="50000"/>
                </a:schemeClr>
              </a:solidFill>
              <a:prstDash val="lgDashDot"/>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2"/>
                </a:solidFill>
                <a:latin typeface="+mn-lt"/>
                <a:ea typeface="+mn-ea"/>
                <a:cs typeface="+mn-cs"/>
              </a:defRPr>
            </a:pPr>
            <a:endParaRPr lang="en-US"/>
          </a:p>
        </c:txPr>
        <c:crossAx val="1785282032"/>
        <c:crosses val="autoZero"/>
        <c:crossBetween val="between"/>
      </c:valAx>
      <c:spPr>
        <a:noFill/>
        <a:ln>
          <a:noFill/>
        </a:ln>
        <a:effectLst/>
      </c:spPr>
    </c:plotArea>
    <c:legend>
      <c:legendPos val="t"/>
      <c:layout>
        <c:manualLayout>
          <c:xMode val="edge"/>
          <c:yMode val="edge"/>
          <c:x val="0.26814073390231069"/>
          <c:y val="0.10304395863827376"/>
          <c:w val="0.35171144828676243"/>
          <c:h val="7.4934757200201263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CEAF0"/>
    </a:solidFill>
    <a:ln w="9525" cap="flat" cmpd="sng" algn="ctr">
      <a:solidFill>
        <a:schemeClr val="tx1"/>
      </a:solidFill>
      <a:round/>
    </a:ln>
    <a:effectLst/>
    <a:scene3d>
      <a:camera prst="orthographicFront"/>
      <a:lightRig rig="threePt" dir="t"/>
    </a:scene3d>
    <a:sp3d prstMaterial="plastic"/>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[makeup_sales_dataset_clean.xlsx]Pivot Table!PivotTable1</c:name>
    <c:fmtId val="5"/>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i="1"/>
              <a:t>Monthly Sales Trend</a:t>
            </a:r>
          </a:p>
        </c:rich>
      </c:tx>
      <c:layout>
        <c:manualLayout>
          <c:xMode val="edge"/>
          <c:yMode val="edge"/>
          <c:x val="0.25660134384809374"/>
          <c:y val="3.4405730555870782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8B3A62"/>
            </a:solidFill>
            <a:round/>
          </a:ln>
          <a:effectLst/>
        </c:spPr>
        <c:marker>
          <c:symbol val="circle"/>
          <c:size val="5"/>
          <c:spPr>
            <a:solidFill>
              <a:srgbClr val="8B3A62"/>
            </a:solidFill>
            <a:ln w="9525">
              <a:solidFill>
                <a:srgbClr val="8B3A6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8B3A62"/>
            </a:solidFill>
            <a:round/>
          </a:ln>
          <a:effectLst/>
        </c:spPr>
        <c:marker>
          <c:symbol val="circle"/>
          <c:size val="5"/>
          <c:spPr>
            <a:solidFill>
              <a:srgbClr val="8B3A62"/>
            </a:solidFill>
            <a:ln w="9525">
              <a:solidFill>
                <a:srgbClr val="8B3A62"/>
              </a:solidFill>
            </a:ln>
            <a:effectLst/>
          </c:spPr>
        </c:marker>
        <c:dLbl>
          <c:idx val="0"/>
          <c:layout>
            <c:manualLayout>
              <c:x val="-6.2190274900855137E-2"/>
              <c:y val="4.020171116791646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8B3A62"/>
            </a:solidFill>
            <a:round/>
          </a:ln>
          <a:effectLst/>
        </c:spPr>
        <c:marker>
          <c:symbol val="circle"/>
          <c:size val="5"/>
          <c:spPr>
            <a:solidFill>
              <a:srgbClr val="8B3A62"/>
            </a:solidFill>
            <a:ln w="9525">
              <a:solidFill>
                <a:srgbClr val="8B3A62"/>
              </a:solidFill>
            </a:ln>
            <a:effectLst/>
          </c:spPr>
        </c:marker>
        <c:dLbl>
          <c:idx val="0"/>
          <c:layout>
            <c:manualLayout>
              <c:x val="-6.2190274900855033E-2"/>
              <c:y val="-4.500631046284430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8B3A62"/>
            </a:solidFill>
            <a:round/>
          </a:ln>
          <a:effectLst/>
        </c:spPr>
        <c:marker>
          <c:symbol val="circle"/>
          <c:size val="5"/>
          <c:spPr>
            <a:solidFill>
              <a:srgbClr val="8B3A62"/>
            </a:solidFill>
            <a:ln w="9525">
              <a:solidFill>
                <a:srgbClr val="8B3A62"/>
              </a:solidFill>
            </a:ln>
            <a:effectLst/>
          </c:spPr>
        </c:marker>
        <c:dLbl>
          <c:idx val="0"/>
          <c:layout>
            <c:manualLayout>
              <c:x val="-8.1709680351621558E-2"/>
              <c:y val="-5.447386842181768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8B3A62"/>
            </a:solidFill>
            <a:round/>
          </a:ln>
          <a:effectLst/>
        </c:spPr>
        <c:marker>
          <c:symbol val="circle"/>
          <c:size val="5"/>
          <c:spPr>
            <a:solidFill>
              <a:srgbClr val="8B3A62"/>
            </a:solidFill>
            <a:ln w="9525">
              <a:solidFill>
                <a:srgbClr val="8B3A62"/>
              </a:solidFill>
            </a:ln>
            <a:effectLst/>
          </c:spPr>
        </c:marker>
        <c:dLbl>
          <c:idx val="0"/>
          <c:layout>
            <c:manualLayout>
              <c:x val="-9.8440599309421437E-2"/>
              <c:y val="6.38706060653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8B3A62"/>
            </a:solidFill>
            <a:round/>
          </a:ln>
          <a:effectLst/>
        </c:spPr>
        <c:marker>
          <c:symbol val="circle"/>
          <c:size val="5"/>
          <c:spPr>
            <a:solidFill>
              <a:srgbClr val="8B3A62"/>
            </a:solidFill>
            <a:ln w="9525">
              <a:solidFill>
                <a:srgbClr val="8B3A62"/>
              </a:solidFill>
            </a:ln>
            <a:effectLst/>
          </c:spPr>
        </c:marker>
        <c:dLbl>
          <c:idx val="0"/>
          <c:layout>
            <c:manualLayout>
              <c:x val="-7.0555734379754986E-2"/>
              <c:y val="5.9136827085863299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8B3A62"/>
            </a:solidFill>
            <a:round/>
          </a:ln>
          <a:effectLst/>
        </c:spPr>
        <c:marker>
          <c:symbol val="circle"/>
          <c:size val="5"/>
          <c:spPr>
            <a:solidFill>
              <a:srgbClr val="8B3A62"/>
            </a:solidFill>
            <a:ln w="9525">
              <a:solidFill>
                <a:srgbClr val="8B3A62"/>
              </a:solidFill>
            </a:ln>
            <a:effectLst/>
          </c:spPr>
        </c:marker>
        <c:dLbl>
          <c:idx val="0"/>
          <c:layout>
            <c:manualLayout>
              <c:x val="-7.6132707365688293E-2"/>
              <c:y val="-3.5538752503870889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rgbClr val="8B3A62"/>
            </a:solidFill>
            <a:round/>
          </a:ln>
          <a:effectLst/>
        </c:spPr>
        <c:marker>
          <c:symbol val="circle"/>
          <c:size val="5"/>
          <c:spPr>
            <a:solidFill>
              <a:srgbClr val="8B3A62"/>
            </a:solidFill>
            <a:ln w="9525">
              <a:solidFill>
                <a:srgbClr val="8B3A62"/>
              </a:solidFill>
            </a:ln>
            <a:effectLst/>
          </c:spPr>
        </c:marker>
        <c:dLbl>
          <c:idx val="0"/>
          <c:layout>
            <c:manualLayout>
              <c:x val="-6.497876139382168E-2"/>
              <c:y val="4.9669269126889876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8B3A62"/>
            </a:solidFill>
            <a:round/>
          </a:ln>
          <a:effectLst/>
        </c:spPr>
        <c:marker>
          <c:symbol val="circle"/>
          <c:size val="5"/>
          <c:spPr>
            <a:solidFill>
              <a:srgbClr val="8B3A62"/>
            </a:solidFill>
            <a:ln w="9525">
              <a:solidFill>
                <a:srgbClr val="8B3A62"/>
              </a:solidFill>
            </a:ln>
            <a:effectLst/>
          </c:spPr>
        </c:marker>
        <c:dLbl>
          <c:idx val="0"/>
          <c:layout>
            <c:manualLayout>
              <c:x val="-6.497876139382168E-2"/>
              <c:y val="-4.500631046284435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rgbClr val="8B3A62"/>
            </a:solidFill>
            <a:round/>
          </a:ln>
          <a:effectLst/>
        </c:spPr>
        <c:marker>
          <c:symbol val="circle"/>
          <c:size val="5"/>
          <c:spPr>
            <a:solidFill>
              <a:srgbClr val="8B3A62"/>
            </a:solidFill>
            <a:ln w="9525">
              <a:solidFill>
                <a:srgbClr val="8B3A62"/>
              </a:solidFill>
            </a:ln>
            <a:effectLst/>
          </c:spPr>
        </c:marker>
        <c:dLbl>
          <c:idx val="0"/>
          <c:layout>
            <c:manualLayout>
              <c:x val="-9.7757977688833861E-2"/>
              <c:y val="-8.473414011138562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rgbClr val="8B3A62"/>
            </a:solidFill>
            <a:round/>
          </a:ln>
          <a:effectLst/>
        </c:spPr>
        <c:marker>
          <c:symbol val="circle"/>
          <c:size val="5"/>
          <c:spPr>
            <a:solidFill>
              <a:srgbClr val="8B3A62"/>
            </a:solidFill>
            <a:ln w="9525">
              <a:solidFill>
                <a:srgbClr val="8B3A62"/>
              </a:solidFill>
            </a:ln>
            <a:effectLst/>
          </c:spPr>
        </c:marker>
        <c:dLbl>
          <c:idx val="0"/>
          <c:layout>
            <c:manualLayout>
              <c:x val="-3.6949948889159671E-4"/>
              <c:y val="-4.6346196756053157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rgbClr val="8B3A62"/>
            </a:solidFill>
            <a:round/>
          </a:ln>
          <a:effectLst/>
        </c:spPr>
        <c:marker>
          <c:symbol val="circle"/>
          <c:size val="5"/>
          <c:spPr>
            <a:solidFill>
              <a:srgbClr val="8B3A62"/>
            </a:solidFill>
            <a:ln w="9525">
              <a:solidFill>
                <a:srgbClr val="8B3A62"/>
              </a:solidFill>
            </a:ln>
            <a:effectLst/>
          </c:spPr>
        </c:marker>
      </c:pivotFmt>
      <c:pivotFmt>
        <c:idx val="14"/>
        <c:spPr>
          <a:ln w="28575" cap="rnd">
            <a:solidFill>
              <a:srgbClr val="8B3A62"/>
            </a:solidFill>
            <a:round/>
          </a:ln>
          <a:effectLst/>
        </c:spPr>
        <c:marker>
          <c:symbol val="circle"/>
          <c:size val="5"/>
          <c:spPr>
            <a:solidFill>
              <a:srgbClr val="8B3A62"/>
            </a:solidFill>
            <a:ln w="9525">
              <a:solidFill>
                <a:srgbClr val="8B3A62"/>
              </a:solidFill>
            </a:ln>
            <a:effectLst/>
          </c:spPr>
        </c:marker>
        <c:dLbl>
          <c:idx val="0"/>
          <c:layout>
            <c:manualLayout>
              <c:x val="-6.674973315391898E-2"/>
              <c:y val="7.1112934969222399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769772058837187E-2"/>
          <c:y val="0.14096261212716679"/>
          <c:w val="0.9214088553508073"/>
          <c:h val="0.63245043345167129"/>
        </c:manualLayout>
      </c:layout>
      <c:lineChart>
        <c:grouping val="standard"/>
        <c:varyColors val="0"/>
        <c:ser>
          <c:idx val="0"/>
          <c:order val="0"/>
          <c:tx>
            <c:strRef>
              <c:f>'Pivot Table'!$B$29</c:f>
              <c:strCache>
                <c:ptCount val="1"/>
                <c:pt idx="0">
                  <c:v>Total</c:v>
                </c:pt>
              </c:strCache>
            </c:strRef>
          </c:tx>
          <c:spPr>
            <a:ln w="28575" cap="rnd">
              <a:solidFill>
                <a:srgbClr val="8B3A62"/>
              </a:solidFill>
              <a:round/>
            </a:ln>
            <a:effectLst/>
          </c:spPr>
          <c:marker>
            <c:symbol val="circle"/>
            <c:size val="5"/>
            <c:spPr>
              <a:solidFill>
                <a:srgbClr val="8B3A62"/>
              </a:solidFill>
              <a:ln w="9525">
                <a:solidFill>
                  <a:srgbClr val="8B3A62"/>
                </a:solidFill>
              </a:ln>
              <a:effectLst/>
            </c:spPr>
          </c:marker>
          <c:dPt>
            <c:idx val="0"/>
            <c:marker>
              <c:symbol val="circle"/>
              <c:size val="5"/>
              <c:spPr>
                <a:solidFill>
                  <a:srgbClr val="8B3A62"/>
                </a:solidFill>
                <a:ln w="9525">
                  <a:solidFill>
                    <a:srgbClr val="8B3A62"/>
                  </a:solidFill>
                </a:ln>
                <a:effectLst/>
              </c:spPr>
            </c:marker>
            <c:bubble3D val="0"/>
          </c:dPt>
          <c:dPt>
            <c:idx val="1"/>
            <c:marker>
              <c:symbol val="circle"/>
              <c:size val="5"/>
              <c:spPr>
                <a:solidFill>
                  <a:srgbClr val="8B3A62"/>
                </a:solidFill>
                <a:ln w="9525">
                  <a:solidFill>
                    <a:srgbClr val="8B3A62"/>
                  </a:solidFill>
                </a:ln>
                <a:effectLst/>
              </c:spPr>
            </c:marker>
            <c:bubble3D val="0"/>
          </c:dPt>
          <c:dPt>
            <c:idx val="2"/>
            <c:marker>
              <c:symbol val="circle"/>
              <c:size val="5"/>
              <c:spPr>
                <a:solidFill>
                  <a:srgbClr val="8B3A62"/>
                </a:solidFill>
                <a:ln w="9525">
                  <a:solidFill>
                    <a:srgbClr val="8B3A62"/>
                  </a:solidFill>
                </a:ln>
                <a:effectLst/>
              </c:spPr>
            </c:marker>
            <c:bubble3D val="0"/>
          </c:dPt>
          <c:dPt>
            <c:idx val="3"/>
            <c:marker>
              <c:symbol val="circle"/>
              <c:size val="5"/>
              <c:spPr>
                <a:solidFill>
                  <a:srgbClr val="8B3A62"/>
                </a:solidFill>
                <a:ln w="9525">
                  <a:solidFill>
                    <a:srgbClr val="8B3A62"/>
                  </a:solidFill>
                </a:ln>
                <a:effectLst/>
              </c:spPr>
            </c:marker>
            <c:bubble3D val="0"/>
          </c:dPt>
          <c:dPt>
            <c:idx val="4"/>
            <c:marker>
              <c:symbol val="circle"/>
              <c:size val="5"/>
              <c:spPr>
                <a:solidFill>
                  <a:srgbClr val="8B3A62"/>
                </a:solidFill>
                <a:ln w="9525">
                  <a:solidFill>
                    <a:srgbClr val="8B3A62"/>
                  </a:solidFill>
                </a:ln>
                <a:effectLst/>
              </c:spPr>
            </c:marker>
            <c:bubble3D val="0"/>
          </c:dPt>
          <c:dPt>
            <c:idx val="5"/>
            <c:marker>
              <c:symbol val="circle"/>
              <c:size val="5"/>
              <c:spPr>
                <a:solidFill>
                  <a:srgbClr val="8B3A62"/>
                </a:solidFill>
                <a:ln w="9525">
                  <a:solidFill>
                    <a:srgbClr val="8B3A62"/>
                  </a:solidFill>
                </a:ln>
                <a:effectLst/>
              </c:spPr>
            </c:marker>
            <c:bubble3D val="0"/>
          </c:dPt>
          <c:dPt>
            <c:idx val="6"/>
            <c:marker>
              <c:symbol val="circle"/>
              <c:size val="5"/>
              <c:spPr>
                <a:solidFill>
                  <a:srgbClr val="8B3A62"/>
                </a:solidFill>
                <a:ln w="9525">
                  <a:solidFill>
                    <a:srgbClr val="8B3A62"/>
                  </a:solidFill>
                </a:ln>
                <a:effectLst/>
              </c:spPr>
            </c:marker>
            <c:bubble3D val="0"/>
          </c:dPt>
          <c:dPt>
            <c:idx val="7"/>
            <c:marker>
              <c:symbol val="circle"/>
              <c:size val="5"/>
              <c:spPr>
                <a:solidFill>
                  <a:srgbClr val="8B3A62"/>
                </a:solidFill>
                <a:ln w="9525">
                  <a:solidFill>
                    <a:srgbClr val="8B3A62"/>
                  </a:solidFill>
                </a:ln>
                <a:effectLst/>
              </c:spPr>
            </c:marker>
            <c:bubble3D val="0"/>
          </c:dPt>
          <c:dPt>
            <c:idx val="9"/>
            <c:marker>
              <c:symbol val="circle"/>
              <c:size val="5"/>
              <c:spPr>
                <a:solidFill>
                  <a:srgbClr val="8B3A62"/>
                </a:solidFill>
                <a:ln w="9525">
                  <a:solidFill>
                    <a:srgbClr val="8B3A62"/>
                  </a:solidFill>
                </a:ln>
                <a:effectLst/>
              </c:spPr>
            </c:marker>
            <c:bubble3D val="0"/>
          </c:dPt>
          <c:dPt>
            <c:idx val="11"/>
            <c:marker>
              <c:symbol val="circle"/>
              <c:size val="5"/>
              <c:spPr>
                <a:solidFill>
                  <a:srgbClr val="8B3A62"/>
                </a:solidFill>
                <a:ln w="9525">
                  <a:solidFill>
                    <a:srgbClr val="8B3A62"/>
                  </a:solidFill>
                </a:ln>
                <a:effectLst/>
              </c:spPr>
            </c:marker>
            <c:bubble3D val="0"/>
          </c:dPt>
          <c:dLbls>
            <c:dLbl>
              <c:idx val="0"/>
              <c:layout>
                <c:manualLayout>
                  <c:x val="-9.8440599309421437E-2"/>
                  <c:y val="6.387060606535E-2"/>
                </c:manualLayout>
              </c:layout>
              <c:dLblPos val="r"/>
              <c:showLegendKey val="0"/>
              <c:showVal val="1"/>
              <c:showCatName val="0"/>
              <c:showSerName val="0"/>
              <c:showPercent val="0"/>
              <c:showBubbleSize val="0"/>
              <c:extLst>
                <c:ext xmlns:c15="http://schemas.microsoft.com/office/drawing/2012/chart" uri="{CE6537A1-D6FC-4f65-9D91-7224C49458BB}"/>
              </c:extLst>
            </c:dLbl>
            <c:dLbl>
              <c:idx val="1"/>
              <c:layout>
                <c:manualLayout>
                  <c:x val="-7.0555734379754986E-2"/>
                  <c:y val="5.9136827085863299E-2"/>
                </c:manualLayout>
              </c:layout>
              <c:dLblPos val="r"/>
              <c:showLegendKey val="0"/>
              <c:showVal val="1"/>
              <c:showCatName val="0"/>
              <c:showSerName val="0"/>
              <c:showPercent val="0"/>
              <c:showBubbleSize val="0"/>
              <c:extLst>
                <c:ext xmlns:c15="http://schemas.microsoft.com/office/drawing/2012/chart" uri="{CE6537A1-D6FC-4f65-9D91-7224C49458BB}"/>
              </c:extLst>
            </c:dLbl>
            <c:dLbl>
              <c:idx val="2"/>
              <c:layout>
                <c:manualLayout>
                  <c:x val="-7.6132707365688293E-2"/>
                  <c:y val="-3.5538752503870889E-2"/>
                </c:manualLayout>
              </c:layout>
              <c:dLblPos val="r"/>
              <c:showLegendKey val="0"/>
              <c:showVal val="1"/>
              <c:showCatName val="0"/>
              <c:showSerName val="0"/>
              <c:showPercent val="0"/>
              <c:showBubbleSize val="0"/>
              <c:extLst>
                <c:ext xmlns:c15="http://schemas.microsoft.com/office/drawing/2012/chart" uri="{CE6537A1-D6FC-4f65-9D91-7224C49458BB}"/>
              </c:extLst>
            </c:dLbl>
            <c:dLbl>
              <c:idx val="3"/>
              <c:layout>
                <c:manualLayout>
                  <c:x val="-6.497876139382168E-2"/>
                  <c:y val="4.9669269126889876E-2"/>
                </c:manualLayout>
              </c:layout>
              <c:dLblPos val="r"/>
              <c:showLegendKey val="0"/>
              <c:showVal val="1"/>
              <c:showCatName val="0"/>
              <c:showSerName val="0"/>
              <c:showPercent val="0"/>
              <c:showBubbleSize val="0"/>
              <c:extLst>
                <c:ext xmlns:c15="http://schemas.microsoft.com/office/drawing/2012/chart" uri="{CE6537A1-D6FC-4f65-9D91-7224C49458BB}"/>
              </c:extLst>
            </c:dLbl>
            <c:dLbl>
              <c:idx val="4"/>
              <c:layout>
                <c:manualLayout>
                  <c:x val="-8.1709680351621558E-2"/>
                  <c:y val="-5.447386842181768E-2"/>
                </c:manualLayout>
              </c:layout>
              <c:dLblPos val="r"/>
              <c:showLegendKey val="0"/>
              <c:showVal val="1"/>
              <c:showCatName val="0"/>
              <c:showSerName val="0"/>
              <c:showPercent val="0"/>
              <c:showBubbleSize val="0"/>
              <c:extLst>
                <c:ext xmlns:c15="http://schemas.microsoft.com/office/drawing/2012/chart" uri="{CE6537A1-D6FC-4f65-9D91-7224C49458BB}"/>
              </c:extLst>
            </c:dLbl>
            <c:dLbl>
              <c:idx val="5"/>
              <c:layout>
                <c:manualLayout>
                  <c:x val="-6.2190274900855033E-2"/>
                  <c:y val="-4.5006310462844305E-2"/>
                </c:manualLayout>
              </c:layout>
              <c:dLblPos val="r"/>
              <c:showLegendKey val="0"/>
              <c:showVal val="1"/>
              <c:showCatName val="0"/>
              <c:showSerName val="0"/>
              <c:showPercent val="0"/>
              <c:showBubbleSize val="0"/>
              <c:extLst>
                <c:ext xmlns:c15="http://schemas.microsoft.com/office/drawing/2012/chart" uri="{CE6537A1-D6FC-4f65-9D91-7224C49458BB}"/>
              </c:extLst>
            </c:dLbl>
            <c:dLbl>
              <c:idx val="6"/>
              <c:layout>
                <c:manualLayout>
                  <c:x val="-6.2190274900855137E-2"/>
                  <c:y val="4.020171116791646E-2"/>
                </c:manualLayout>
              </c:layout>
              <c:dLblPos val="r"/>
              <c:showLegendKey val="0"/>
              <c:showVal val="1"/>
              <c:showCatName val="0"/>
              <c:showSerName val="0"/>
              <c:showPercent val="0"/>
              <c:showBubbleSize val="0"/>
              <c:extLst>
                <c:ext xmlns:c15="http://schemas.microsoft.com/office/drawing/2012/chart" uri="{CE6537A1-D6FC-4f65-9D91-7224C49458BB}"/>
              </c:extLst>
            </c:dLbl>
            <c:dLbl>
              <c:idx val="7"/>
              <c:layout>
                <c:manualLayout>
                  <c:x val="-6.497876139382168E-2"/>
                  <c:y val="-4.5006310462844354E-2"/>
                </c:manualLayout>
              </c:layout>
              <c:dLblPos val="r"/>
              <c:showLegendKey val="0"/>
              <c:showVal val="1"/>
              <c:showCatName val="0"/>
              <c:showSerName val="0"/>
              <c:showPercent val="0"/>
              <c:showBubbleSize val="0"/>
              <c:extLst>
                <c:ext xmlns:c15="http://schemas.microsoft.com/office/drawing/2012/chart" uri="{CE6537A1-D6FC-4f65-9D91-7224C49458BB}"/>
              </c:extLst>
            </c:dLbl>
            <c:dLbl>
              <c:idx val="9"/>
              <c:layout>
                <c:manualLayout>
                  <c:x val="-9.7757977688833861E-2"/>
                  <c:y val="-8.4734140111385622E-2"/>
                </c:manualLayout>
              </c:layout>
              <c:dLblPos val="r"/>
              <c:showLegendKey val="0"/>
              <c:showVal val="1"/>
              <c:showCatName val="0"/>
              <c:showSerName val="0"/>
              <c:showPercent val="0"/>
              <c:showBubbleSize val="0"/>
              <c:extLst>
                <c:ext xmlns:c15="http://schemas.microsoft.com/office/drawing/2012/chart" uri="{CE6537A1-D6FC-4f65-9D91-7224C49458BB}"/>
              </c:extLst>
            </c:dLbl>
            <c:dLbl>
              <c:idx val="10"/>
              <c:layout>
                <c:manualLayout>
                  <c:x val="-6.674973315391898E-2"/>
                  <c:y val="7.1112934969222399E-2"/>
                </c:manualLayout>
              </c:layout>
              <c:dLblPos val="r"/>
              <c:showLegendKey val="0"/>
              <c:showVal val="1"/>
              <c:showCatName val="0"/>
              <c:showSerName val="0"/>
              <c:showPercent val="0"/>
              <c:showBubbleSize val="0"/>
              <c:extLst>
                <c:ext xmlns:c15="http://schemas.microsoft.com/office/drawing/2012/chart" uri="{CE6537A1-D6FC-4f65-9D91-7224C49458BB}"/>
              </c:extLst>
            </c:dLbl>
            <c:dLbl>
              <c:idx val="11"/>
              <c:layout>
                <c:manualLayout>
                  <c:x val="-3.6949948889159671E-4"/>
                  <c:y val="-4.6346196756053157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Table'!$A$30:$A$42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Table'!$B$30:$B$42</c:f>
              <c:numCache>
                <c:formatCode>General</c:formatCode>
                <c:ptCount val="12"/>
                <c:pt idx="0">
                  <c:v>63184.05</c:v>
                </c:pt>
                <c:pt idx="1">
                  <c:v>41654.67</c:v>
                </c:pt>
                <c:pt idx="2">
                  <c:v>71169.11</c:v>
                </c:pt>
                <c:pt idx="3">
                  <c:v>67298.710000000006</c:v>
                </c:pt>
                <c:pt idx="4">
                  <c:v>69506.679999999993</c:v>
                </c:pt>
                <c:pt idx="5">
                  <c:v>98829.22</c:v>
                </c:pt>
                <c:pt idx="6">
                  <c:v>60675.03</c:v>
                </c:pt>
                <c:pt idx="7">
                  <c:v>83296.77</c:v>
                </c:pt>
                <c:pt idx="8">
                  <c:v>54373.64</c:v>
                </c:pt>
                <c:pt idx="9">
                  <c:v>53388.29</c:v>
                </c:pt>
                <c:pt idx="10">
                  <c:v>67251.710000000006</c:v>
                </c:pt>
                <c:pt idx="11">
                  <c:v>62560.62</c:v>
                </c:pt>
              </c:numCache>
            </c:numRef>
          </c:val>
          <c:smooth val="0"/>
          <c:extLst>
            <c:ext xmlns:c16="http://schemas.microsoft.com/office/drawing/2014/chart" uri="{C3380CC4-5D6E-409C-BE32-E72D297353CC}">
              <c16:uniqueId val="{0000000C-0F72-4909-8D4F-3E589D663A3C}"/>
            </c:ext>
          </c:extLst>
        </c:ser>
        <c:dLbls>
          <c:dLblPos val="b"/>
          <c:showLegendKey val="0"/>
          <c:showVal val="1"/>
          <c:showCatName val="0"/>
          <c:showSerName val="0"/>
          <c:showPercent val="0"/>
          <c:showBubbleSize val="0"/>
        </c:dLbls>
        <c:marker val="1"/>
        <c:smooth val="0"/>
        <c:axId val="2141422416"/>
        <c:axId val="2141428240"/>
      </c:lineChart>
      <c:catAx>
        <c:axId val="2141422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2141428240"/>
        <c:crosses val="autoZero"/>
        <c:auto val="1"/>
        <c:lblAlgn val="ctr"/>
        <c:lblOffset val="100"/>
        <c:noMultiLvlLbl val="0"/>
      </c:catAx>
      <c:valAx>
        <c:axId val="2141428240"/>
        <c:scaling>
          <c:orientation val="minMax"/>
        </c:scaling>
        <c:delete val="1"/>
        <c:axPos val="l"/>
        <c:majorGridlines>
          <c:spPr>
            <a:ln w="9525" cap="flat" cmpd="sng" algn="ctr">
              <a:solidFill>
                <a:schemeClr val="bg2">
                  <a:lumMod val="75000"/>
                  <a:alpha val="50000"/>
                </a:schemeClr>
              </a:solidFill>
              <a:prstDash val="lgDashDot"/>
              <a:round/>
            </a:ln>
            <a:effectLst/>
          </c:spPr>
        </c:majorGridlines>
        <c:numFmt formatCode="General" sourceLinked="1"/>
        <c:majorTickMark val="none"/>
        <c:minorTickMark val="none"/>
        <c:tickLblPos val="nextTo"/>
        <c:crossAx val="2141422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CEAF0"/>
    </a:solidFill>
    <a:ln w="9525" cap="flat" cmpd="sng" algn="ctr">
      <a:solidFill>
        <a:schemeClr val="tx1">
          <a:lumMod val="15000"/>
          <a:lumOff val="85000"/>
        </a:schemeClr>
      </a:solidFill>
      <a:round/>
    </a:ln>
    <a:effectLst/>
    <a:scene3d>
      <a:camera prst="orthographicFront"/>
      <a:lightRig rig="threePt" dir="t"/>
    </a:scene3d>
    <a:sp3d prstMaterial="plastic"/>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07/relationships/hdphoto" Target="../media/hdphoto1.wdp"/><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21</xdr:col>
      <xdr:colOff>116816</xdr:colOff>
      <xdr:row>1</xdr:row>
      <xdr:rowOff>77529</xdr:rowOff>
    </xdr:from>
    <xdr:to>
      <xdr:col>24</xdr:col>
      <xdr:colOff>434382</xdr:colOff>
      <xdr:row>13</xdr:row>
      <xdr:rowOff>145143</xdr:rowOff>
    </xdr:to>
    <mc:AlternateContent xmlns:mc="http://schemas.openxmlformats.org/markup-compatibility/2006">
      <mc:Choice xmlns:a14="http://schemas.microsoft.com/office/drawing/2010/main" Requires="a14">
        <xdr:graphicFrame macro="">
          <xdr:nvGraphicFramePr>
            <xdr:cNvPr id="9" name="Brand">
              <a:extLst>
                <a:ext uri="{FF2B5EF4-FFF2-40B4-BE49-F238E27FC236}">
                  <a16:creationId xmlns:a16="http://schemas.microsoft.com/office/drawing/2014/main" id="{62336D07-8FBC-433D-B72B-50EF4368FB50}"/>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dr:sp macro="" textlink="">
          <xdr:nvSpPr>
            <xdr:cNvPr id="0" name=""/>
            <xdr:cNvSpPr>
              <a:spLocks noTextEdit="1"/>
            </xdr:cNvSpPr>
          </xdr:nvSpPr>
          <xdr:spPr>
            <a:xfrm>
              <a:off x="12884369" y="259923"/>
              <a:ext cx="2141502" cy="22563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19</xdr:col>
      <xdr:colOff>84044</xdr:colOff>
      <xdr:row>14</xdr:row>
      <xdr:rowOff>70184</xdr:rowOff>
    </xdr:from>
    <xdr:to>
      <xdr:col>24</xdr:col>
      <xdr:colOff>441992</xdr:colOff>
      <xdr:row>30</xdr:row>
      <xdr:rowOff>10126</xdr:rowOff>
    </xdr:to>
    <xdr:graphicFrame macro="">
      <xdr:nvGraphicFramePr>
        <xdr:cNvPr id="4" name="Chart 3">
          <a:extLst>
            <a:ext uri="{FF2B5EF4-FFF2-40B4-BE49-F238E27FC236}">
              <a16:creationId xmlns:a16="http://schemas.microsoft.com/office/drawing/2014/main" id="{8029BB7B-F2D1-440F-AB70-8A95925870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9339</xdr:colOff>
      <xdr:row>30</xdr:row>
      <xdr:rowOff>125604</xdr:rowOff>
    </xdr:from>
    <xdr:to>
      <xdr:col>24</xdr:col>
      <xdr:colOff>482516</xdr:colOff>
      <xdr:row>47</xdr:row>
      <xdr:rowOff>88346</xdr:rowOff>
    </xdr:to>
    <xdr:graphicFrame macro="">
      <xdr:nvGraphicFramePr>
        <xdr:cNvPr id="5" name="Chart 4">
          <a:extLst>
            <a:ext uri="{FF2B5EF4-FFF2-40B4-BE49-F238E27FC236}">
              <a16:creationId xmlns:a16="http://schemas.microsoft.com/office/drawing/2014/main" id="{F8B9E6CE-3AEA-4A8B-9794-EA8A57D11B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9</xdr:col>
      <xdr:colOff>113471</xdr:colOff>
      <xdr:row>30</xdr:row>
      <xdr:rowOff>133036</xdr:rowOff>
    </xdr:from>
    <xdr:to>
      <xdr:col>17</xdr:col>
      <xdr:colOff>512193</xdr:colOff>
      <xdr:row>47</xdr:row>
      <xdr:rowOff>87653</xdr:rowOff>
    </xdr:to>
    <xdr:graphicFrame macro="">
      <xdr:nvGraphicFramePr>
        <xdr:cNvPr id="6" name="Chart 5">
          <a:extLst>
            <a:ext uri="{FF2B5EF4-FFF2-40B4-BE49-F238E27FC236}">
              <a16:creationId xmlns:a16="http://schemas.microsoft.com/office/drawing/2014/main" id="{7671969C-E898-4E3E-9AE6-3A59D88A65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11</xdr:col>
      <xdr:colOff>154081</xdr:colOff>
      <xdr:row>14</xdr:row>
      <xdr:rowOff>96241</xdr:rowOff>
    </xdr:from>
    <xdr:to>
      <xdr:col>19</xdr:col>
      <xdr:colOff>9414</xdr:colOff>
      <xdr:row>30</xdr:row>
      <xdr:rowOff>12502</xdr:rowOff>
    </xdr:to>
    <xdr:graphicFrame macro="">
      <xdr:nvGraphicFramePr>
        <xdr:cNvPr id="10" name="Chart 9">
          <a:extLst>
            <a:ext uri="{FF2B5EF4-FFF2-40B4-BE49-F238E27FC236}">
              <a16:creationId xmlns:a16="http://schemas.microsoft.com/office/drawing/2014/main" id="{4D857E24-3754-4444-A7F1-DF47E5A99D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0</xdr:col>
      <xdr:colOff>124557</xdr:colOff>
      <xdr:row>30</xdr:row>
      <xdr:rowOff>114152</xdr:rowOff>
    </xdr:from>
    <xdr:to>
      <xdr:col>9</xdr:col>
      <xdr:colOff>17970</xdr:colOff>
      <xdr:row>47</xdr:row>
      <xdr:rowOff>78167</xdr:rowOff>
    </xdr:to>
    <xdr:graphicFrame macro="">
      <xdr:nvGraphicFramePr>
        <xdr:cNvPr id="11" name="Chart 10">
          <a:extLst>
            <a:ext uri="{FF2B5EF4-FFF2-40B4-BE49-F238E27FC236}">
              <a16:creationId xmlns:a16="http://schemas.microsoft.com/office/drawing/2014/main" id="{A17C4029-B50B-4E37-B52C-07B8909C0F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3</xdr:col>
      <xdr:colOff>308161</xdr:colOff>
      <xdr:row>14</xdr:row>
      <xdr:rowOff>96087</xdr:rowOff>
    </xdr:from>
    <xdr:to>
      <xdr:col>11</xdr:col>
      <xdr:colOff>75829</xdr:colOff>
      <xdr:row>30</xdr:row>
      <xdr:rowOff>10466</xdr:rowOff>
    </xdr:to>
    <xdr:graphicFrame macro="">
      <xdr:nvGraphicFramePr>
        <xdr:cNvPr id="12" name="Chart 11">
          <a:extLst>
            <a:ext uri="{FF2B5EF4-FFF2-40B4-BE49-F238E27FC236}">
              <a16:creationId xmlns:a16="http://schemas.microsoft.com/office/drawing/2014/main" id="{3DFFF1D8-233C-454E-9636-70CEEB59BB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0</xdr:col>
      <xdr:colOff>92473</xdr:colOff>
      <xdr:row>9</xdr:row>
      <xdr:rowOff>1</xdr:rowOff>
    </xdr:from>
    <xdr:to>
      <xdr:col>3</xdr:col>
      <xdr:colOff>194676</xdr:colOff>
      <xdr:row>19</xdr:row>
      <xdr:rowOff>45312</xdr:rowOff>
    </xdr:to>
    <mc:AlternateContent xmlns:mc="http://schemas.openxmlformats.org/markup-compatibility/2006">
      <mc:Choice xmlns:a14="http://schemas.microsoft.com/office/drawing/2010/main" Requires="a14">
        <xdr:graphicFrame macro="">
          <xdr:nvGraphicFramePr>
            <xdr:cNvPr id="13" name="Country">
              <a:extLst>
                <a:ext uri="{FF2B5EF4-FFF2-40B4-BE49-F238E27FC236}">
                  <a16:creationId xmlns:a16="http://schemas.microsoft.com/office/drawing/2014/main" id="{222B4569-65BC-4C3F-B14D-5B5F9A29832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92473" y="1641544"/>
              <a:ext cx="1926139" cy="18692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17</xdr:col>
      <xdr:colOff>530165</xdr:colOff>
      <xdr:row>1</xdr:row>
      <xdr:rowOff>70418</xdr:rowOff>
    </xdr:from>
    <xdr:to>
      <xdr:col>21</xdr:col>
      <xdr:colOff>61170</xdr:colOff>
      <xdr:row>13</xdr:row>
      <xdr:rowOff>145142</xdr:rowOff>
    </xdr:to>
    <mc:AlternateContent xmlns:mc="http://schemas.openxmlformats.org/markup-compatibility/2006">
      <mc:Choice xmlns:a14="http://schemas.microsoft.com/office/drawing/2010/main" Requires="a14">
        <xdr:graphicFrame macro="">
          <xdr:nvGraphicFramePr>
            <xdr:cNvPr id="14" name="Product_Type">
              <a:extLst>
                <a:ext uri="{FF2B5EF4-FFF2-40B4-BE49-F238E27FC236}">
                  <a16:creationId xmlns:a16="http://schemas.microsoft.com/office/drawing/2014/main" id="{69291D4D-D92F-4496-A3D7-B254E3D17419}"/>
                </a:ext>
              </a:extLst>
            </xdr:cNvPr>
            <xdr:cNvGraphicFramePr/>
          </xdr:nvGraphicFramePr>
          <xdr:xfrm>
            <a:off x="0" y="0"/>
            <a:ext cx="0" cy="0"/>
          </xdr:xfrm>
          <a:graphic>
            <a:graphicData uri="http://schemas.microsoft.com/office/drawing/2010/slicer">
              <sle:slicer xmlns:sle="http://schemas.microsoft.com/office/drawing/2010/slicer" name="Product_Type"/>
            </a:graphicData>
          </a:graphic>
        </xdr:graphicFrame>
      </mc:Choice>
      <mc:Fallback>
        <xdr:sp macro="" textlink="">
          <xdr:nvSpPr>
            <xdr:cNvPr id="0" name=""/>
            <xdr:cNvSpPr>
              <a:spLocks noTextEdit="1"/>
            </xdr:cNvSpPr>
          </xdr:nvSpPr>
          <xdr:spPr>
            <a:xfrm>
              <a:off x="10865803" y="252812"/>
              <a:ext cx="1962920" cy="22634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14</xdr:col>
      <xdr:colOff>229906</xdr:colOff>
      <xdr:row>8</xdr:row>
      <xdr:rowOff>122581</xdr:rowOff>
    </xdr:from>
    <xdr:to>
      <xdr:col>17</xdr:col>
      <xdr:colOff>443989</xdr:colOff>
      <xdr:row>13</xdr:row>
      <xdr:rowOff>172097</xdr:rowOff>
    </xdr:to>
    <xdr:sp macro="" textlink="'Pivot Table'!E6">
      <xdr:nvSpPr>
        <xdr:cNvPr id="15" name="Rectangle: Rounded Corners 14">
          <a:extLst>
            <a:ext uri="{FF2B5EF4-FFF2-40B4-BE49-F238E27FC236}">
              <a16:creationId xmlns:a16="http://schemas.microsoft.com/office/drawing/2014/main" id="{1E203D49-6A6B-4B86-B41E-4A541F229ECC}"/>
            </a:ext>
          </a:extLst>
        </xdr:cNvPr>
        <xdr:cNvSpPr/>
      </xdr:nvSpPr>
      <xdr:spPr>
        <a:xfrm>
          <a:off x="8810689" y="1646581"/>
          <a:ext cx="2052822" cy="1002016"/>
        </a:xfrm>
        <a:prstGeom prst="roundRect">
          <a:avLst/>
        </a:prstGeom>
        <a:solidFill>
          <a:srgbClr val="FBDDE8"/>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F3D3B54D-A786-4FF6-A3C5-B03D2F3725CF}" type="TxLink">
            <a:rPr lang="en-US" sz="2400" b="1" i="0" u="none" strike="noStrike">
              <a:solidFill>
                <a:srgbClr val="000000"/>
              </a:solidFill>
              <a:latin typeface="Calibri"/>
              <a:cs typeface="Calibri"/>
            </a:rPr>
            <a:pPr algn="ctr"/>
            <a:t>1586.377</a:t>
          </a:fld>
          <a:endParaRPr lang="en-US" sz="2400" b="1" i="0" u="none" strike="noStrike">
            <a:solidFill>
              <a:srgbClr val="000000"/>
            </a:solidFill>
            <a:latin typeface="Calibri"/>
            <a:cs typeface="Calibri"/>
          </a:endParaRPr>
        </a:p>
        <a:p>
          <a:pPr algn="ctr"/>
          <a:r>
            <a:rPr lang="en-US" sz="2400" b="1" i="0" u="none" strike="noStrike">
              <a:solidFill>
                <a:srgbClr val="000000"/>
              </a:solidFill>
              <a:latin typeface="Calibri"/>
              <a:cs typeface="Calibri"/>
            </a:rPr>
            <a:t>Average</a:t>
          </a:r>
          <a:r>
            <a:rPr lang="en-US" sz="2400" b="1" i="0" u="none" strike="noStrike" baseline="0">
              <a:solidFill>
                <a:srgbClr val="000000"/>
              </a:solidFill>
              <a:latin typeface="Calibri"/>
              <a:cs typeface="Calibri"/>
            </a:rPr>
            <a:t> Sales Value</a:t>
          </a:r>
          <a:endParaRPr lang="en-US" sz="2400"/>
        </a:p>
      </xdr:txBody>
    </xdr:sp>
    <xdr:clientData/>
  </xdr:twoCellAnchor>
  <xdr:twoCellAnchor editAs="absolute">
    <xdr:from>
      <xdr:col>3</xdr:col>
      <xdr:colOff>279757</xdr:colOff>
      <xdr:row>8</xdr:row>
      <xdr:rowOff>177954</xdr:rowOff>
    </xdr:from>
    <xdr:to>
      <xdr:col>7</xdr:col>
      <xdr:colOff>24879</xdr:colOff>
      <xdr:row>14</xdr:row>
      <xdr:rowOff>24812</xdr:rowOff>
    </xdr:to>
    <xdr:sp macro="" textlink="'Pivot Table'!B6">
      <xdr:nvSpPr>
        <xdr:cNvPr id="16" name="Rectangle: Rounded Corners 15">
          <a:extLst>
            <a:ext uri="{FF2B5EF4-FFF2-40B4-BE49-F238E27FC236}">
              <a16:creationId xmlns:a16="http://schemas.microsoft.com/office/drawing/2014/main" id="{67A6A1AA-4236-4755-A119-A7F401AA5F7C}"/>
            </a:ext>
          </a:extLst>
        </xdr:cNvPr>
        <xdr:cNvSpPr/>
      </xdr:nvSpPr>
      <xdr:spPr>
        <a:xfrm>
          <a:off x="2118496" y="1701954"/>
          <a:ext cx="2196774" cy="989858"/>
        </a:xfrm>
        <a:prstGeom prst="roundRect">
          <a:avLst/>
        </a:prstGeom>
        <a:solidFill>
          <a:srgbClr val="FBDDE8"/>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FCDE908F-B640-4DE2-A1CC-09EA97F19C34}" type="TxLink">
            <a:rPr lang="en-US" sz="2400" b="1" i="0" u="none" strike="noStrike">
              <a:solidFill>
                <a:srgbClr val="000000"/>
              </a:solidFill>
              <a:latin typeface="Calibri"/>
              <a:cs typeface="Calibri"/>
            </a:rPr>
            <a:pPr algn="ctr"/>
            <a:t>793188.5</a:t>
          </a:fld>
          <a:endParaRPr lang="en-US" sz="2400" b="1" i="0" u="none" strike="noStrike">
            <a:solidFill>
              <a:srgbClr val="000000"/>
            </a:solidFill>
            <a:latin typeface="Calibri"/>
            <a:cs typeface="Calibri"/>
          </a:endParaRPr>
        </a:p>
        <a:p>
          <a:pPr algn="ctr"/>
          <a:r>
            <a:rPr lang="en-US" sz="2400" b="1" i="0" u="none" strike="noStrike">
              <a:solidFill>
                <a:srgbClr val="000000"/>
              </a:solidFill>
              <a:latin typeface="Calibri"/>
              <a:cs typeface="Calibri"/>
            </a:rPr>
            <a:t>Total</a:t>
          </a:r>
          <a:r>
            <a:rPr lang="en-US" sz="2400" b="1" i="0" u="none" strike="noStrike" baseline="0">
              <a:solidFill>
                <a:srgbClr val="000000"/>
              </a:solidFill>
              <a:latin typeface="Calibri"/>
              <a:cs typeface="Calibri"/>
            </a:rPr>
            <a:t> Revenue</a:t>
          </a:r>
          <a:endParaRPr lang="en-US" sz="2400"/>
        </a:p>
      </xdr:txBody>
    </xdr:sp>
    <xdr:clientData/>
  </xdr:twoCellAnchor>
  <xdr:twoCellAnchor editAs="absolute">
    <xdr:from>
      <xdr:col>7</xdr:col>
      <xdr:colOff>55879</xdr:colOff>
      <xdr:row>8</xdr:row>
      <xdr:rowOff>153008</xdr:rowOff>
    </xdr:from>
    <xdr:to>
      <xdr:col>10</xdr:col>
      <xdr:colOff>421173</xdr:colOff>
      <xdr:row>14</xdr:row>
      <xdr:rowOff>4751</xdr:rowOff>
    </xdr:to>
    <xdr:sp macro="" textlink="'Pivot Table'!C6">
      <xdr:nvSpPr>
        <xdr:cNvPr id="17" name="Rectangle: Rounded Corners 16">
          <a:extLst>
            <a:ext uri="{FF2B5EF4-FFF2-40B4-BE49-F238E27FC236}">
              <a16:creationId xmlns:a16="http://schemas.microsoft.com/office/drawing/2014/main" id="{E3CCCDA1-7819-478A-B1FA-D7A67C20D2D2}"/>
            </a:ext>
          </a:extLst>
        </xdr:cNvPr>
        <xdr:cNvSpPr/>
      </xdr:nvSpPr>
      <xdr:spPr>
        <a:xfrm>
          <a:off x="4346270" y="1677008"/>
          <a:ext cx="2204033" cy="994743"/>
        </a:xfrm>
        <a:prstGeom prst="roundRect">
          <a:avLst/>
        </a:prstGeom>
        <a:solidFill>
          <a:srgbClr val="FBDDE8"/>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53868404-DF37-4185-98B1-8B090B555D67}" type="TxLink">
            <a:rPr lang="en-US" sz="2400" b="1" i="0" u="none" strike="noStrike">
              <a:solidFill>
                <a:srgbClr val="000000"/>
              </a:solidFill>
              <a:latin typeface="Calibri"/>
              <a:cs typeface="Calibri"/>
            </a:rPr>
            <a:pPr algn="ctr"/>
            <a:t>500</a:t>
          </a:fld>
          <a:endParaRPr lang="en-US" sz="2400" b="1" i="0" u="none" strike="noStrike">
            <a:solidFill>
              <a:srgbClr val="000000"/>
            </a:solidFill>
            <a:latin typeface="Calibri"/>
            <a:cs typeface="Calibri"/>
          </a:endParaRPr>
        </a:p>
        <a:p>
          <a:pPr algn="ctr"/>
          <a:r>
            <a:rPr lang="en-US" sz="2400" b="1" i="0" u="none" strike="noStrike">
              <a:solidFill>
                <a:srgbClr val="000000"/>
              </a:solidFill>
              <a:latin typeface="Calibri"/>
              <a:cs typeface="Calibri"/>
            </a:rPr>
            <a:t>Total Orders</a:t>
          </a:r>
          <a:endParaRPr lang="en-US" sz="4400"/>
        </a:p>
      </xdr:txBody>
    </xdr:sp>
    <xdr:clientData/>
  </xdr:twoCellAnchor>
  <xdr:twoCellAnchor editAs="absolute">
    <xdr:from>
      <xdr:col>10</xdr:col>
      <xdr:colOff>461568</xdr:colOff>
      <xdr:row>8</xdr:row>
      <xdr:rowOff>140366</xdr:rowOff>
    </xdr:from>
    <xdr:to>
      <xdr:col>14</xdr:col>
      <xdr:colOff>184137</xdr:colOff>
      <xdr:row>14</xdr:row>
      <xdr:rowOff>658</xdr:rowOff>
    </xdr:to>
    <xdr:sp macro="" textlink="'Pivot Table'!D6">
      <xdr:nvSpPr>
        <xdr:cNvPr id="18" name="Rectangle: Rounded Corners 17">
          <a:extLst>
            <a:ext uri="{FF2B5EF4-FFF2-40B4-BE49-F238E27FC236}">
              <a16:creationId xmlns:a16="http://schemas.microsoft.com/office/drawing/2014/main" id="{3B99EEA3-D79F-4686-9F10-A69EA204A908}"/>
            </a:ext>
          </a:extLst>
        </xdr:cNvPr>
        <xdr:cNvSpPr/>
      </xdr:nvSpPr>
      <xdr:spPr>
        <a:xfrm>
          <a:off x="6590698" y="1664366"/>
          <a:ext cx="2174222" cy="1003292"/>
        </a:xfrm>
        <a:prstGeom prst="roundRect">
          <a:avLst/>
        </a:prstGeom>
        <a:solidFill>
          <a:srgbClr val="FBDDE8"/>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D674D316-94FF-4B69-B0F3-3067CCC3341A}" type="TxLink">
            <a:rPr lang="en-US" sz="2400" b="1" i="0" u="none" strike="noStrike">
              <a:solidFill>
                <a:srgbClr val="000000"/>
              </a:solidFill>
              <a:latin typeface="Calibri"/>
              <a:cs typeface="Calibri"/>
            </a:rPr>
            <a:pPr algn="ctr"/>
            <a:t>12708</a:t>
          </a:fld>
          <a:endParaRPr lang="en-US" sz="2400" b="1" i="0" u="none" strike="noStrike">
            <a:solidFill>
              <a:srgbClr val="000000"/>
            </a:solidFill>
            <a:latin typeface="Calibri"/>
            <a:cs typeface="Calibri"/>
          </a:endParaRPr>
        </a:p>
        <a:p>
          <a:pPr algn="ctr"/>
          <a:r>
            <a:rPr lang="en-US" sz="2400" b="1" i="0" u="none" strike="noStrike">
              <a:solidFill>
                <a:srgbClr val="000000"/>
              </a:solidFill>
              <a:latin typeface="Calibri"/>
              <a:cs typeface="Calibri"/>
            </a:rPr>
            <a:t>Units Sold</a:t>
          </a:r>
          <a:endParaRPr lang="en-US" sz="4800"/>
        </a:p>
      </xdr:txBody>
    </xdr:sp>
    <xdr:clientData/>
  </xdr:twoCellAnchor>
  <xdr:twoCellAnchor editAs="absolute">
    <xdr:from>
      <xdr:col>0</xdr:col>
      <xdr:colOff>80042</xdr:colOff>
      <xdr:row>1</xdr:row>
      <xdr:rowOff>63221</xdr:rowOff>
    </xdr:from>
    <xdr:to>
      <xdr:col>17</xdr:col>
      <xdr:colOff>399436</xdr:colOff>
      <xdr:row>8</xdr:row>
      <xdr:rowOff>85481</xdr:rowOff>
    </xdr:to>
    <xdr:sp macro="" textlink="">
      <xdr:nvSpPr>
        <xdr:cNvPr id="19" name="Rectangle: Rounded Corners 18">
          <a:extLst>
            <a:ext uri="{FF2B5EF4-FFF2-40B4-BE49-F238E27FC236}">
              <a16:creationId xmlns:a16="http://schemas.microsoft.com/office/drawing/2014/main" id="{907190C3-C52C-43E9-96B0-1B96E9EDB2D7}"/>
            </a:ext>
          </a:extLst>
        </xdr:cNvPr>
        <xdr:cNvSpPr/>
      </xdr:nvSpPr>
      <xdr:spPr>
        <a:xfrm>
          <a:off x="80042" y="258606"/>
          <a:ext cx="10699202" cy="1389952"/>
        </a:xfrm>
        <a:prstGeom prst="roundRect">
          <a:avLst/>
        </a:prstGeom>
        <a:solidFill>
          <a:srgbClr val="FBDDE8"/>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400" b="1" i="1">
              <a:solidFill>
                <a:sysClr val="windowText" lastClr="000000"/>
              </a:solidFill>
            </a:rPr>
            <a:t>        Cosmetic Sales Performance Dashboard</a:t>
          </a:r>
          <a:endParaRPr lang="en-US" sz="1400" b="1" i="1">
            <a:solidFill>
              <a:sysClr val="windowText" lastClr="000000"/>
            </a:solidFill>
          </a:endParaRPr>
        </a:p>
      </xdr:txBody>
    </xdr:sp>
    <xdr:clientData/>
  </xdr:twoCellAnchor>
  <xdr:twoCellAnchor editAs="absolute">
    <xdr:from>
      <xdr:col>0</xdr:col>
      <xdr:colOff>102599</xdr:colOff>
      <xdr:row>19</xdr:row>
      <xdr:rowOff>98918</xdr:rowOff>
    </xdr:from>
    <xdr:to>
      <xdr:col>3</xdr:col>
      <xdr:colOff>169152</xdr:colOff>
      <xdr:row>30</xdr:row>
      <xdr:rowOff>0</xdr:rowOff>
    </xdr:to>
    <mc:AlternateContent xmlns:mc="http://schemas.openxmlformats.org/markup-compatibility/2006">
      <mc:Choice xmlns:a14="http://schemas.microsoft.com/office/drawing/2010/main" Requires="a14">
        <xdr:graphicFrame macro="">
          <xdr:nvGraphicFramePr>
            <xdr:cNvPr id="21" name="Month">
              <a:extLst>
                <a:ext uri="{FF2B5EF4-FFF2-40B4-BE49-F238E27FC236}">
                  <a16:creationId xmlns:a16="http://schemas.microsoft.com/office/drawing/2014/main" id="{63B8C61E-1290-4178-914E-AC93EF95828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02599" y="3564397"/>
              <a:ext cx="1890489" cy="19074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172366</xdr:colOff>
      <xdr:row>2</xdr:row>
      <xdr:rowOff>1</xdr:rowOff>
    </xdr:from>
    <xdr:to>
      <xdr:col>1</xdr:col>
      <xdr:colOff>555279</xdr:colOff>
      <xdr:row>7</xdr:row>
      <xdr:rowOff>110436</xdr:rowOff>
    </xdr:to>
    <xdr:pic>
      <xdr:nvPicPr>
        <xdr:cNvPr id="31" name="Picture 30">
          <a:extLst>
            <a:ext uri="{FF2B5EF4-FFF2-40B4-BE49-F238E27FC236}">
              <a16:creationId xmlns:a16="http://schemas.microsoft.com/office/drawing/2014/main" id="{31466C40-C62D-44B2-AED6-72EE61E63D6D}"/>
            </a:ext>
          </a:extLst>
        </xdr:cNvPr>
        <xdr:cNvPicPr>
          <a:picLocks noChangeAspect="1"/>
        </xdr:cNvPicPr>
      </xdr:nvPicPr>
      <xdr:blipFill rotWithShape="1">
        <a:blip xmlns:r="http://schemas.openxmlformats.org/officeDocument/2006/relationships" r:embed="rId7">
          <a:extLst>
            <a:ext uri="{BEBA8EAE-BF5A-486C-A8C5-ECC9F3942E4B}">
              <a14:imgProps xmlns:a14="http://schemas.microsoft.com/office/drawing/2010/main">
                <a14:imgLayer r:embed="rId8">
                  <a14:imgEffect>
                    <a14:sharpenSoften amount="-25000"/>
                  </a14:imgEffect>
                </a14:imgLayer>
              </a14:imgProps>
            </a:ext>
            <a:ext uri="{28A0092B-C50C-407E-A947-70E740481C1C}">
              <a14:useLocalDpi xmlns:a14="http://schemas.microsoft.com/office/drawing/2010/main" val="0"/>
            </a:ext>
          </a:extLst>
        </a:blip>
        <a:srcRect l="6892" t="3859" r="5889" b="4707"/>
        <a:stretch/>
      </xdr:blipFill>
      <xdr:spPr>
        <a:xfrm>
          <a:off x="172366" y="386523"/>
          <a:ext cx="990304" cy="1076739"/>
        </a:xfrm>
        <a:prstGeom prst="ellipse">
          <a:avLst/>
        </a:prstGeom>
        <a:ln>
          <a:solidFill>
            <a:srgbClr val="F4AAC4"/>
          </a:solidFill>
        </a:ln>
        <a:effectLst>
          <a:outerShdw blurRad="50800" dist="38100" dir="2700000" algn="tl" rotWithShape="0">
            <a:prstClr val="black">
              <a:alpha val="40000"/>
            </a:prstClr>
          </a:outerShdw>
        </a:effectLst>
        <a:scene3d>
          <a:camera prst="obliqueTopLeft"/>
          <a:lightRig rig="threePt" dir="t"/>
        </a:scene3d>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refreshedDate="46110.601393865742" backgroundQuery="1" createdVersion="7" refreshedVersion="7" minRefreshableVersion="3" recordCount="0" supportSubquery="1" supportAdvancedDrill="1" xr:uid="{147C7668-F24C-4D7E-858E-09B8D73F4BBA}">
  <cacheSource type="external" connectionId="1"/>
  <cacheFields count="2">
    <cacheField name="[Measures].[Sum of Revenue_USD]" caption="Sum of Revenue_USD" numFmtId="0" hierarchy="13" level="32767"/>
    <cacheField name="[Table1].[Month].[Month]" caption="Month" numFmtId="0" hierarchy="10" level="1">
      <sharedItems count="12">
        <s v="April"/>
        <s v="August"/>
        <s v="December"/>
        <s v="February"/>
        <s v="January"/>
        <s v="July"/>
        <s v="June"/>
        <s v="March"/>
        <s v="May"/>
        <s v="November"/>
        <s v="October"/>
        <s v="September"/>
      </sharedItems>
    </cacheField>
  </cacheFields>
  <cacheHierarchies count="20">
    <cacheHierarchy uniqueName="[Table1].[Sale_ID]" caption="Sale_ID" attribute="1" defaultMemberUniqueName="[Table1].[Sale_ID].[All]" allUniqueName="[Table1].[Sale_ID].[All]" dimensionUniqueName="[Table1]" displayFolder="" count="2" memberValueDatatype="20" unbalanced="0"/>
    <cacheHierarchy uniqueName="[Table1].[Date]" caption="Date" attribute="1" time="1" defaultMemberUniqueName="[Table1].[Date].[All]" allUniqueName="[Table1].[Date].[All]" dimensionUniqueName="[Table1]" displayFolder="" count="2" memberValueDatatype="7" unbalanced="0"/>
    <cacheHierarchy uniqueName="[Table1].[Brand]" caption="Brand" attribute="1" defaultMemberUniqueName="[Table1].[Brand].[All]" allUniqueName="[Table1].[Brand].[All]" dimensionUniqueName="[Table1]" displayFolder="" count="2" memberValueDatatype="130" unbalanced="0"/>
    <cacheHierarchy uniqueName="[Table1].[Product_Type]" caption="Product_Type" attribute="1" defaultMemberUniqueName="[Table1].[Product_Type].[All]" allUniqueName="[Table1].[Product_Type].[All]" dimensionUniqueName="[Table1]" displayFolder="" count="2"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Sales_Channel]" caption="Sales_Channel" attribute="1" defaultMemberUniqueName="[Table1].[Sales_Channel].[All]" allUniqueName="[Table1].[Sales_Channel].[All]" dimensionUniqueName="[Table1]" displayFolder="" count="2" memberValueDatatype="130" unbalanced="0"/>
    <cacheHierarchy uniqueName="[Table1].[Payment_Method]" caption="Payment_Method" attribute="1" defaultMemberUniqueName="[Table1].[Payment_Method].[All]" allUniqueName="[Table1].[Payment_Method].[All]" dimensionUniqueName="[Table1]" displayFolder="" count="2" memberValueDatatype="130" unbalanced="0"/>
    <cacheHierarchy uniqueName="[Table1].[Price_USD]" caption="Price_USD" attribute="1" defaultMemberUniqueName="[Table1].[Price_USD].[All]" allUniqueName="[Table1].[Price_USD].[All]" dimensionUniqueName="[Table1]" displayFolder="" count="2" memberValueDatatype="5" unbalanced="0"/>
    <cacheHierarchy uniqueName="[Table1].[Units_Sold]" caption="Units_Sold" attribute="1" defaultMemberUniqueName="[Table1].[Units_Sold].[All]" allUniqueName="[Table1].[Units_Sold].[All]" dimensionUniqueName="[Table1]" displayFolder="" count="2" memberValueDatatype="20" unbalanced="0"/>
    <cacheHierarchy uniqueName="[Table1].[Revenue_USD]" caption="Revenue_USD" attribute="1" defaultMemberUniqueName="[Table1].[Revenue_USD].[All]" allUniqueName="[Table1].[Revenue_USD].[All]" dimensionUniqueName="[Table1]" displayFolder="" count="2" memberValueDatatype="5" unbalanced="0"/>
    <cacheHierarchy uniqueName="[Table1].[Month]" caption="Month" attribute="1" defaultMemberUniqueName="[Table1].[Month].[All]" allUniqueName="[Table1].[Month].[All]" dimensionUniqueName="[Table1]" displayFolder="" count="2" memberValueDatatype="130" unbalanced="0">
      <fieldsUsage count="2">
        <fieldUsage x="-1"/>
        <fieldUsage x="1"/>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_USD]" caption="Sum of Revenue_USD" measure="1" displayFolder="" measureGroup="Table1"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Units_Sold]" caption="Sum of Units_Sold" measure="1" displayFolder="" measureGroup="Table1" count="0" hidden="1">
      <extLst>
        <ext xmlns:x15="http://schemas.microsoft.com/office/spreadsheetml/2010/11/main" uri="{B97F6D7D-B522-45F9-BDA1-12C45D357490}">
          <x15:cacheHierarchy aggregatedColumn="8"/>
        </ext>
      </extLst>
    </cacheHierarchy>
    <cacheHierarchy uniqueName="[Measures].[Count of Units_Sold]" caption="Count of Units_Sold" measure="1" displayFolder="" measureGroup="Table1" count="0" hidden="1">
      <extLst>
        <ext xmlns:x15="http://schemas.microsoft.com/office/spreadsheetml/2010/11/main" uri="{B97F6D7D-B522-45F9-BDA1-12C45D357490}">
          <x15:cacheHierarchy aggregatedColumn="8"/>
        </ext>
      </extLst>
    </cacheHierarchy>
    <cacheHierarchy uniqueName="[Measures].[Sum of Sale_ID]" caption="Sum of Sale_ID" measure="1" displayFolder="" measureGroup="Table1" count="0" hidden="1">
      <extLst>
        <ext xmlns:x15="http://schemas.microsoft.com/office/spreadsheetml/2010/11/main" uri="{B97F6D7D-B522-45F9-BDA1-12C45D357490}">
          <x15:cacheHierarchy aggregatedColumn="0"/>
        </ext>
      </extLst>
    </cacheHierarchy>
    <cacheHierarchy uniqueName="[Measures].[Count of Sale_ID]" caption="Count of Sale_ID" measure="1" displayFolder="" measureGroup="Table1" count="0" hidden="1">
      <extLst>
        <ext xmlns:x15="http://schemas.microsoft.com/office/spreadsheetml/2010/11/main" uri="{B97F6D7D-B522-45F9-BDA1-12C45D357490}">
          <x15:cacheHierarchy aggregatedColumn="0"/>
        </ext>
      </extLst>
    </cacheHierarchy>
    <cacheHierarchy uniqueName="[Measures].[Average of Sale_ID]" caption="Average of Sale_ID" measure="1" displayFolder="" measureGroup="Table1" count="0" hidden="1">
      <extLst>
        <ext xmlns:x15="http://schemas.microsoft.com/office/spreadsheetml/2010/11/main" uri="{B97F6D7D-B522-45F9-BDA1-12C45D357490}">
          <x15:cacheHierarchy aggregatedColumn="0"/>
        </ext>
      </extLst>
    </cacheHierarchy>
    <cacheHierarchy uniqueName="[Measures].[Average of Revenue_USD]" caption="Average of Revenue_USD" measure="1" displayFolder="" measureGroup="Table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refreshedDate="46110.601394212965" backgroundQuery="1" createdVersion="7" refreshedVersion="7" minRefreshableVersion="3" recordCount="0" supportSubquery="1" supportAdvancedDrill="1" xr:uid="{7B12B2DF-10FD-4646-BF59-88FFDEF04881}">
  <cacheSource type="external" connectionId="1"/>
  <cacheFields count="2">
    <cacheField name="[Table1].[Month].[Month]" caption="Month" numFmtId="0" hierarchy="10" level="1">
      <sharedItems count="12">
        <s v="April"/>
        <s v="August"/>
        <s v="December"/>
        <s v="February"/>
        <s v="January"/>
        <s v="July"/>
        <s v="June"/>
        <s v="March"/>
        <s v="May"/>
        <s v="November"/>
        <s v="October"/>
        <s v="September"/>
      </sharedItems>
    </cacheField>
    <cacheField name="[Measures].[Sum of Units_Sold]" caption="Sum of Units_Sold" numFmtId="0" hierarchy="14" level="32767"/>
  </cacheFields>
  <cacheHierarchies count="20">
    <cacheHierarchy uniqueName="[Table1].[Sale_ID]" caption="Sale_ID" attribute="1" defaultMemberUniqueName="[Table1].[Sale_ID].[All]" allUniqueName="[Table1].[Sale_ID].[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Brand]" caption="Brand" attribute="1" defaultMemberUniqueName="[Table1].[Brand].[All]" allUniqueName="[Table1].[Brand].[All]" dimensionUniqueName="[Table1]" displayFolder="" count="2" memberValueDatatype="130" unbalanced="0"/>
    <cacheHierarchy uniqueName="[Table1].[Product_Type]" caption="Product_Type" attribute="1" defaultMemberUniqueName="[Table1].[Product_Type].[All]" allUniqueName="[Table1].[Product_Type].[All]" dimensionUniqueName="[Table1]" displayFolder="" count="2"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Sales_Channel]" caption="Sales_Channel" attribute="1" defaultMemberUniqueName="[Table1].[Sales_Channel].[All]" allUniqueName="[Table1].[Sales_Channel].[All]" dimensionUniqueName="[Table1]" displayFolder="" count="0" memberValueDatatype="130"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Price_USD]" caption="Price_USD" attribute="1" defaultMemberUniqueName="[Table1].[Price_USD].[All]" allUniqueName="[Table1].[Price_USD].[All]" dimensionUniqueName="[Table1]" displayFolder="" count="0" memberValueDatatype="5" unbalanced="0"/>
    <cacheHierarchy uniqueName="[Table1].[Units_Sold]" caption="Units_Sold" attribute="1" defaultMemberUniqueName="[Table1].[Units_Sold].[All]" allUniqueName="[Table1].[Units_Sold].[All]" dimensionUniqueName="[Table1]" displayFolder="" count="0" memberValueDatatype="20" unbalanced="0"/>
    <cacheHierarchy uniqueName="[Table1].[Revenue_USD]" caption="Revenue_USD" attribute="1" defaultMemberUniqueName="[Table1].[Revenue_USD].[All]" allUniqueName="[Table1].[Revenue_USD].[All]" dimensionUniqueName="[Table1]" displayFolder="" count="0" memberValueDatatype="5" unbalanced="0"/>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_USD]" caption="Sum of Revenue_USD" measure="1" displayFolder="" measureGroup="Table1" count="0" hidden="1">
      <extLst>
        <ext xmlns:x15="http://schemas.microsoft.com/office/spreadsheetml/2010/11/main" uri="{B97F6D7D-B522-45F9-BDA1-12C45D357490}">
          <x15:cacheHierarchy aggregatedColumn="9"/>
        </ext>
      </extLst>
    </cacheHierarchy>
    <cacheHierarchy uniqueName="[Measures].[Sum of Units_Sold]" caption="Sum of Units_Sold"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Units_Sold]" caption="Count of Units_Sold" measure="1" displayFolder="" measureGroup="Table1" count="0" hidden="1">
      <extLst>
        <ext xmlns:x15="http://schemas.microsoft.com/office/spreadsheetml/2010/11/main" uri="{B97F6D7D-B522-45F9-BDA1-12C45D357490}">
          <x15:cacheHierarchy aggregatedColumn="8"/>
        </ext>
      </extLst>
    </cacheHierarchy>
    <cacheHierarchy uniqueName="[Measures].[Sum of Sale_ID]" caption="Sum of Sale_ID" measure="1" displayFolder="" measureGroup="Table1" count="0" hidden="1">
      <extLst>
        <ext xmlns:x15="http://schemas.microsoft.com/office/spreadsheetml/2010/11/main" uri="{B97F6D7D-B522-45F9-BDA1-12C45D357490}">
          <x15:cacheHierarchy aggregatedColumn="0"/>
        </ext>
      </extLst>
    </cacheHierarchy>
    <cacheHierarchy uniqueName="[Measures].[Count of Sale_ID]" caption="Count of Sale_ID" measure="1" displayFolder="" measureGroup="Table1" count="0" hidden="1">
      <extLst>
        <ext xmlns:x15="http://schemas.microsoft.com/office/spreadsheetml/2010/11/main" uri="{B97F6D7D-B522-45F9-BDA1-12C45D357490}">
          <x15:cacheHierarchy aggregatedColumn="0"/>
        </ext>
      </extLst>
    </cacheHierarchy>
    <cacheHierarchy uniqueName="[Measures].[Average of Sale_ID]" caption="Average of Sale_ID" measure="1" displayFolder="" measureGroup="Table1" count="0" hidden="1">
      <extLst>
        <ext xmlns:x15="http://schemas.microsoft.com/office/spreadsheetml/2010/11/main" uri="{B97F6D7D-B522-45F9-BDA1-12C45D357490}">
          <x15:cacheHierarchy aggregatedColumn="0"/>
        </ext>
      </extLst>
    </cacheHierarchy>
    <cacheHierarchy uniqueName="[Measures].[Average of Revenue_USD]" caption="Average of Revenue_USD" measure="1" displayFolder="" measureGroup="Table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refreshedDate="46110.601394791665" backgroundQuery="1" createdVersion="7" refreshedVersion="7" minRefreshableVersion="3" recordCount="0" supportSubquery="1" supportAdvancedDrill="1" xr:uid="{4FBC8687-6A30-402D-BFBD-5830489744C7}">
  <cacheSource type="external" connectionId="1"/>
  <cacheFields count="4">
    <cacheField name="[Measures].[Sum of Revenue_USD]" caption="Sum of Revenue_USD" numFmtId="0" hierarchy="13" level="32767"/>
    <cacheField name="[Table1].[Month].[Month]" caption="Month" numFmtId="0" hierarchy="10" level="1">
      <sharedItems count="12">
        <s v="April"/>
        <s v="August"/>
        <s v="December"/>
        <s v="February"/>
        <s v="January"/>
        <s v="July"/>
        <s v="June"/>
        <s v="March"/>
        <s v="May"/>
        <s v="November"/>
        <s v="October"/>
        <s v="September"/>
      </sharedItems>
    </cacheField>
    <cacheField name="[Table1].[Product_Type].[Product_Type]" caption="Product_Type" numFmtId="0" hierarchy="3" level="1">
      <sharedItems count="8">
        <s v="Blush"/>
        <s v="Concealer"/>
        <s v="Eyeliner"/>
        <s v="Eyeshadow"/>
        <s v="Foundation"/>
        <s v="Highlighter"/>
        <s v="Lipstick"/>
        <s v="Mascara"/>
      </sharedItems>
    </cacheField>
    <cacheField name="[Measures].[Count of Units_Sold]" caption="Count of Units_Sold" numFmtId="0" hierarchy="15" level="32767"/>
  </cacheFields>
  <cacheHierarchies count="20">
    <cacheHierarchy uniqueName="[Table1].[Sale_ID]" caption="Sale_ID" attribute="1" defaultMemberUniqueName="[Table1].[Sale_ID].[All]" allUniqueName="[Table1].[Sale_ID].[All]" dimensionUniqueName="[Table1]" displayFolder="" count="2" memberValueDatatype="20" unbalanced="0"/>
    <cacheHierarchy uniqueName="[Table1].[Date]" caption="Date" attribute="1" time="1" defaultMemberUniqueName="[Table1].[Date].[All]" allUniqueName="[Table1].[Date].[All]" dimensionUniqueName="[Table1]" displayFolder="" count="2" memberValueDatatype="7" unbalanced="0"/>
    <cacheHierarchy uniqueName="[Table1].[Brand]" caption="Brand" attribute="1" defaultMemberUniqueName="[Table1].[Brand].[All]" allUniqueName="[Table1].[Brand].[All]" dimensionUniqueName="[Table1]" displayFolder="" count="2" memberValueDatatype="130" unbalanced="0"/>
    <cacheHierarchy uniqueName="[Table1].[Product_Type]" caption="Product_Type" attribute="1" defaultMemberUniqueName="[Table1].[Product_Type].[All]" allUniqueName="[Table1].[Product_Type].[All]" dimensionUniqueName="[Table1]" displayFolder="" count="2" memberValueDatatype="130" unbalanced="0">
      <fieldsUsage count="2">
        <fieldUsage x="-1"/>
        <fieldUsage x="2"/>
      </fieldsUsage>
    </cacheHierarchy>
    <cacheHierarchy uniqueName="[Table1].[Country]" caption="Country" attribute="1" defaultMemberUniqueName="[Table1].[Country].[All]" allUniqueName="[Table1].[Country].[All]" dimensionUniqueName="[Table1]" displayFolder="" count="2" memberValueDatatype="130" unbalanced="0"/>
    <cacheHierarchy uniqueName="[Table1].[Sales_Channel]" caption="Sales_Channel" attribute="1" defaultMemberUniqueName="[Table1].[Sales_Channel].[All]" allUniqueName="[Table1].[Sales_Channel].[All]" dimensionUniqueName="[Table1]" displayFolder="" count="2" memberValueDatatype="130" unbalanced="0"/>
    <cacheHierarchy uniqueName="[Table1].[Payment_Method]" caption="Payment_Method" attribute="1" defaultMemberUniqueName="[Table1].[Payment_Method].[All]" allUniqueName="[Table1].[Payment_Method].[All]" dimensionUniqueName="[Table1]" displayFolder="" count="2" memberValueDatatype="130" unbalanced="0"/>
    <cacheHierarchy uniqueName="[Table1].[Price_USD]" caption="Price_USD" attribute="1" defaultMemberUniqueName="[Table1].[Price_USD].[All]" allUniqueName="[Table1].[Price_USD].[All]" dimensionUniqueName="[Table1]" displayFolder="" count="2" memberValueDatatype="5" unbalanced="0"/>
    <cacheHierarchy uniqueName="[Table1].[Units_Sold]" caption="Units_Sold" attribute="1" defaultMemberUniqueName="[Table1].[Units_Sold].[All]" allUniqueName="[Table1].[Units_Sold].[All]" dimensionUniqueName="[Table1]" displayFolder="" count="2" memberValueDatatype="20" unbalanced="0"/>
    <cacheHierarchy uniqueName="[Table1].[Revenue_USD]" caption="Revenue_USD" attribute="1" defaultMemberUniqueName="[Table1].[Revenue_USD].[All]" allUniqueName="[Table1].[Revenue_USD].[All]" dimensionUniqueName="[Table1]" displayFolder="" count="2" memberValueDatatype="5" unbalanced="0"/>
    <cacheHierarchy uniqueName="[Table1].[Month]" caption="Month" attribute="1" defaultMemberUniqueName="[Table1].[Month].[All]" allUniqueName="[Table1].[Month].[All]" dimensionUniqueName="[Table1]" displayFolder="" count="2" memberValueDatatype="130" unbalanced="0">
      <fieldsUsage count="2">
        <fieldUsage x="-1"/>
        <fieldUsage x="1"/>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_USD]" caption="Sum of Revenue_USD" measure="1" displayFolder="" measureGroup="Table1"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Units_Sold]" caption="Sum of Units_Sold" measure="1" displayFolder="" measureGroup="Table1" count="0" hidden="1">
      <extLst>
        <ext xmlns:x15="http://schemas.microsoft.com/office/spreadsheetml/2010/11/main" uri="{B97F6D7D-B522-45F9-BDA1-12C45D357490}">
          <x15:cacheHierarchy aggregatedColumn="8"/>
        </ext>
      </extLst>
    </cacheHierarchy>
    <cacheHierarchy uniqueName="[Measures].[Count of Units_Sold]" caption="Count of Units_Sold" measure="1" displayFolder="" measureGroup="Table1" count="0" oneField="1" hidden="1">
      <fieldsUsage count="1">
        <fieldUsage x="3"/>
      </fieldsUsage>
      <extLst>
        <ext xmlns:x15="http://schemas.microsoft.com/office/spreadsheetml/2010/11/main" uri="{B97F6D7D-B522-45F9-BDA1-12C45D357490}">
          <x15:cacheHierarchy aggregatedColumn="8"/>
        </ext>
      </extLst>
    </cacheHierarchy>
    <cacheHierarchy uniqueName="[Measures].[Sum of Sale_ID]" caption="Sum of Sale_ID" measure="1" displayFolder="" measureGroup="Table1" count="0" hidden="1">
      <extLst>
        <ext xmlns:x15="http://schemas.microsoft.com/office/spreadsheetml/2010/11/main" uri="{B97F6D7D-B522-45F9-BDA1-12C45D357490}">
          <x15:cacheHierarchy aggregatedColumn="0"/>
        </ext>
      </extLst>
    </cacheHierarchy>
    <cacheHierarchy uniqueName="[Measures].[Count of Sale_ID]" caption="Count of Sale_ID" measure="1" displayFolder="" measureGroup="Table1" count="0" hidden="1">
      <extLst>
        <ext xmlns:x15="http://schemas.microsoft.com/office/spreadsheetml/2010/11/main" uri="{B97F6D7D-B522-45F9-BDA1-12C45D357490}">
          <x15:cacheHierarchy aggregatedColumn="0"/>
        </ext>
      </extLst>
    </cacheHierarchy>
    <cacheHierarchy uniqueName="[Measures].[Average of Sale_ID]" caption="Average of Sale_ID" measure="1" displayFolder="" measureGroup="Table1" count="0" hidden="1">
      <extLst>
        <ext xmlns:x15="http://schemas.microsoft.com/office/spreadsheetml/2010/11/main" uri="{B97F6D7D-B522-45F9-BDA1-12C45D357490}">
          <x15:cacheHierarchy aggregatedColumn="0"/>
        </ext>
      </extLst>
    </cacheHierarchy>
    <cacheHierarchy uniqueName="[Measures].[Average of Revenue_USD]" caption="Average of Revenue_USD" measure="1" displayFolder="" measureGroup="Table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refreshedDate="46110.601395370373" backgroundQuery="1" createdVersion="7" refreshedVersion="7" minRefreshableVersion="3" recordCount="0" supportSubquery="1" supportAdvancedDrill="1" xr:uid="{49272B3A-D342-48FE-B751-1CD484230567}">
  <cacheSource type="external" connectionId="1"/>
  <cacheFields count="3">
    <cacheField name="[Measures].[Sum of Revenue_USD]" caption="Sum of Revenue_USD" numFmtId="0" hierarchy="13" level="32767"/>
    <cacheField name="[Table1].[Month].[Month]" caption="Month" numFmtId="0" hierarchy="10" level="1">
      <sharedItems count="12">
        <s v="April"/>
        <s v="August"/>
        <s v="December"/>
        <s v="February"/>
        <s v="January"/>
        <s v="July"/>
        <s v="June"/>
        <s v="March"/>
        <s v="May"/>
        <s v="November"/>
        <s v="October"/>
        <s v="September"/>
      </sharedItems>
    </cacheField>
    <cacheField name="[Table1].[Brand].[Brand]" caption="Brand" numFmtId="0" hierarchy="2" level="1">
      <sharedItems count="8">
        <s v="Dior"/>
        <s v="Estee Lauder"/>
        <s v="Fenty Beauty"/>
        <s v="Huda Beauty"/>
        <s v="L'Oreal"/>
        <s v="MAC"/>
        <s v="Maybelline"/>
        <s v="NARS"/>
      </sharedItems>
    </cacheField>
  </cacheFields>
  <cacheHierarchies count="20">
    <cacheHierarchy uniqueName="[Table1].[Sale_ID]" caption="Sale_ID" attribute="1" defaultMemberUniqueName="[Table1].[Sale_ID].[All]" allUniqueName="[Table1].[Sale_ID].[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Brand]" caption="Brand" attribute="1" defaultMemberUniqueName="[Table1].[Brand].[All]" allUniqueName="[Table1].[Brand].[All]" dimensionUniqueName="[Table1]" displayFolder="" count="2" memberValueDatatype="130" unbalanced="0">
      <fieldsUsage count="2">
        <fieldUsage x="-1"/>
        <fieldUsage x="2"/>
      </fieldsUsage>
    </cacheHierarchy>
    <cacheHierarchy uniqueName="[Table1].[Product_Type]" caption="Product_Type" attribute="1" defaultMemberUniqueName="[Table1].[Product_Type].[All]" allUniqueName="[Table1].[Product_Type].[All]" dimensionUniqueName="[Table1]" displayFolder="" count="2"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Sales_Channel]" caption="Sales_Channel" attribute="1" defaultMemberUniqueName="[Table1].[Sales_Channel].[All]" allUniqueName="[Table1].[Sales_Channel].[All]" dimensionUniqueName="[Table1]" displayFolder="" count="0" memberValueDatatype="130"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Price_USD]" caption="Price_USD" attribute="1" defaultMemberUniqueName="[Table1].[Price_USD].[All]" allUniqueName="[Table1].[Price_USD].[All]" dimensionUniqueName="[Table1]" displayFolder="" count="0" memberValueDatatype="5" unbalanced="0"/>
    <cacheHierarchy uniqueName="[Table1].[Units_Sold]" caption="Units_Sold" attribute="1" defaultMemberUniqueName="[Table1].[Units_Sold].[All]" allUniqueName="[Table1].[Units_Sold].[All]" dimensionUniqueName="[Table1]" displayFolder="" count="0" memberValueDatatype="20" unbalanced="0"/>
    <cacheHierarchy uniqueName="[Table1].[Revenue_USD]" caption="Revenue_USD" attribute="1" defaultMemberUniqueName="[Table1].[Revenue_USD].[All]" allUniqueName="[Table1].[Revenue_USD].[All]" dimensionUniqueName="[Table1]" displayFolder="" count="0" memberValueDatatype="5" unbalanced="0"/>
    <cacheHierarchy uniqueName="[Table1].[Month]" caption="Month" attribute="1" defaultMemberUniqueName="[Table1].[Month].[All]" allUniqueName="[Table1].[Month].[All]" dimensionUniqueName="[Table1]" displayFolder="" count="2" memberValueDatatype="130" unbalanced="0">
      <fieldsUsage count="2">
        <fieldUsage x="-1"/>
        <fieldUsage x="1"/>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_USD]" caption="Sum of Revenue_USD" measure="1" displayFolder="" measureGroup="Table1"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Units_Sold]" caption="Sum of Units_Sold" measure="1" displayFolder="" measureGroup="Table1" count="0" hidden="1">
      <extLst>
        <ext xmlns:x15="http://schemas.microsoft.com/office/spreadsheetml/2010/11/main" uri="{B97F6D7D-B522-45F9-BDA1-12C45D357490}">
          <x15:cacheHierarchy aggregatedColumn="8"/>
        </ext>
      </extLst>
    </cacheHierarchy>
    <cacheHierarchy uniqueName="[Measures].[Count of Units_Sold]" caption="Count of Units_Sold" measure="1" displayFolder="" measureGroup="Table1" count="0" hidden="1">
      <extLst>
        <ext xmlns:x15="http://schemas.microsoft.com/office/spreadsheetml/2010/11/main" uri="{B97F6D7D-B522-45F9-BDA1-12C45D357490}">
          <x15:cacheHierarchy aggregatedColumn="8"/>
        </ext>
      </extLst>
    </cacheHierarchy>
    <cacheHierarchy uniqueName="[Measures].[Sum of Sale_ID]" caption="Sum of Sale_ID" measure="1" displayFolder="" measureGroup="Table1" count="0" hidden="1">
      <extLst>
        <ext xmlns:x15="http://schemas.microsoft.com/office/spreadsheetml/2010/11/main" uri="{B97F6D7D-B522-45F9-BDA1-12C45D357490}">
          <x15:cacheHierarchy aggregatedColumn="0"/>
        </ext>
      </extLst>
    </cacheHierarchy>
    <cacheHierarchy uniqueName="[Measures].[Count of Sale_ID]" caption="Count of Sale_ID" measure="1" displayFolder="" measureGroup="Table1" count="0" hidden="1">
      <extLst>
        <ext xmlns:x15="http://schemas.microsoft.com/office/spreadsheetml/2010/11/main" uri="{B97F6D7D-B522-45F9-BDA1-12C45D357490}">
          <x15:cacheHierarchy aggregatedColumn="0"/>
        </ext>
      </extLst>
    </cacheHierarchy>
    <cacheHierarchy uniqueName="[Measures].[Average of Sale_ID]" caption="Average of Sale_ID" measure="1" displayFolder="" measureGroup="Table1" count="0" hidden="1">
      <extLst>
        <ext xmlns:x15="http://schemas.microsoft.com/office/spreadsheetml/2010/11/main" uri="{B97F6D7D-B522-45F9-BDA1-12C45D357490}">
          <x15:cacheHierarchy aggregatedColumn="0"/>
        </ext>
      </extLst>
    </cacheHierarchy>
    <cacheHierarchy uniqueName="[Measures].[Average of Revenue_USD]" caption="Average of Revenue_USD" measure="1" displayFolder="" measureGroup="Table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refreshedDate="46110.601396064812" backgroundQuery="1" createdVersion="7" refreshedVersion="7" minRefreshableVersion="3" recordCount="0" supportSubquery="1" supportAdvancedDrill="1" xr:uid="{4CB372D0-7FA9-4835-930B-5FC1E661B668}">
  <cacheSource type="external" connectionId="1"/>
  <cacheFields count="4">
    <cacheField name="[Measures].[Sum of Revenue_USD]" caption="Sum of Revenue_USD" numFmtId="0" hierarchy="13" level="32767"/>
    <cacheField name="[Table1].[Month].[Month]" caption="Month" numFmtId="0" hierarchy="10" level="1">
      <sharedItems count="12">
        <s v="April"/>
        <s v="August"/>
        <s v="December"/>
        <s v="February"/>
        <s v="January"/>
        <s v="July"/>
        <s v="June"/>
        <s v="March"/>
        <s v="May"/>
        <s v="November"/>
        <s v="October"/>
        <s v="September"/>
      </sharedItems>
    </cacheField>
    <cacheField name="[Table1].[Brand].[Brand]" caption="Brand" numFmtId="0" hierarchy="2" level="1">
      <sharedItems count="8">
        <s v="Dior"/>
        <s v="Estee Lauder"/>
        <s v="Fenty Beauty"/>
        <s v="Huda Beauty"/>
        <s v="L'Oreal"/>
        <s v="MAC"/>
        <s v="Maybelline"/>
        <s v="NARS"/>
      </sharedItems>
    </cacheField>
    <cacheField name="[Table1].[Country].[Country]" caption="Country" numFmtId="0" hierarchy="4" level="1">
      <sharedItems count="8">
        <s v="Canada"/>
        <s v="France"/>
        <s v="Germany"/>
        <s v="India"/>
        <s v="Saudi Arabia"/>
        <s v="UAE"/>
        <s v="UK"/>
        <s v="USA"/>
      </sharedItems>
    </cacheField>
  </cacheFields>
  <cacheHierarchies count="20">
    <cacheHierarchy uniqueName="[Table1].[Sale_ID]" caption="Sale_ID" attribute="1" defaultMemberUniqueName="[Table1].[Sale_ID].[All]" allUniqueName="[Table1].[Sale_ID].[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Brand]" caption="Brand" attribute="1" defaultMemberUniqueName="[Table1].[Brand].[All]" allUniqueName="[Table1].[Brand].[All]" dimensionUniqueName="[Table1]" displayFolder="" count="2" memberValueDatatype="130" unbalanced="0">
      <fieldsUsage count="2">
        <fieldUsage x="-1"/>
        <fieldUsage x="2"/>
      </fieldsUsage>
    </cacheHierarchy>
    <cacheHierarchy uniqueName="[Table1].[Product_Type]" caption="Product_Type" attribute="1" defaultMemberUniqueName="[Table1].[Product_Type].[All]" allUniqueName="[Table1].[Product_Type].[All]" dimensionUniqueName="[Table1]" displayFolder="" count="2" memberValueDatatype="130" unbalanced="0"/>
    <cacheHierarchy uniqueName="[Table1].[Country]" caption="Country" attribute="1" defaultMemberUniqueName="[Table1].[Country].[All]" allUniqueName="[Table1].[Country].[All]" dimensionUniqueName="[Table1]" displayFolder="" count="2" memberValueDatatype="130" unbalanced="0">
      <fieldsUsage count="2">
        <fieldUsage x="-1"/>
        <fieldUsage x="3"/>
      </fieldsUsage>
    </cacheHierarchy>
    <cacheHierarchy uniqueName="[Table1].[Sales_Channel]" caption="Sales_Channel" attribute="1" defaultMemberUniqueName="[Table1].[Sales_Channel].[All]" allUniqueName="[Table1].[Sales_Channel].[All]" dimensionUniqueName="[Table1]" displayFolder="" count="0" memberValueDatatype="130"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Price_USD]" caption="Price_USD" attribute="1" defaultMemberUniqueName="[Table1].[Price_USD].[All]" allUniqueName="[Table1].[Price_USD].[All]" dimensionUniqueName="[Table1]" displayFolder="" count="0" memberValueDatatype="5" unbalanced="0"/>
    <cacheHierarchy uniqueName="[Table1].[Units_Sold]" caption="Units_Sold" attribute="1" defaultMemberUniqueName="[Table1].[Units_Sold].[All]" allUniqueName="[Table1].[Units_Sold].[All]" dimensionUniqueName="[Table1]" displayFolder="" count="0" memberValueDatatype="20" unbalanced="0"/>
    <cacheHierarchy uniqueName="[Table1].[Revenue_USD]" caption="Revenue_USD" attribute="1" defaultMemberUniqueName="[Table1].[Revenue_USD].[All]" allUniqueName="[Table1].[Revenue_USD].[All]" dimensionUniqueName="[Table1]" displayFolder="" count="0" memberValueDatatype="5" unbalanced="0"/>
    <cacheHierarchy uniqueName="[Table1].[Month]" caption="Month" attribute="1" defaultMemberUniqueName="[Table1].[Month].[All]" allUniqueName="[Table1].[Month].[All]" dimensionUniqueName="[Table1]" displayFolder="" count="2" memberValueDatatype="130" unbalanced="0">
      <fieldsUsage count="2">
        <fieldUsage x="-1"/>
        <fieldUsage x="1"/>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_USD]" caption="Sum of Revenue_USD" measure="1" displayFolder="" measureGroup="Table1"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Units_Sold]" caption="Sum of Units_Sold" measure="1" displayFolder="" measureGroup="Table1" count="0" hidden="1">
      <extLst>
        <ext xmlns:x15="http://schemas.microsoft.com/office/spreadsheetml/2010/11/main" uri="{B97F6D7D-B522-45F9-BDA1-12C45D357490}">
          <x15:cacheHierarchy aggregatedColumn="8"/>
        </ext>
      </extLst>
    </cacheHierarchy>
    <cacheHierarchy uniqueName="[Measures].[Count of Units_Sold]" caption="Count of Units_Sold" measure="1" displayFolder="" measureGroup="Table1" count="0" hidden="1">
      <extLst>
        <ext xmlns:x15="http://schemas.microsoft.com/office/spreadsheetml/2010/11/main" uri="{B97F6D7D-B522-45F9-BDA1-12C45D357490}">
          <x15:cacheHierarchy aggregatedColumn="8"/>
        </ext>
      </extLst>
    </cacheHierarchy>
    <cacheHierarchy uniqueName="[Measures].[Sum of Sale_ID]" caption="Sum of Sale_ID" measure="1" displayFolder="" measureGroup="Table1" count="0" hidden="1">
      <extLst>
        <ext xmlns:x15="http://schemas.microsoft.com/office/spreadsheetml/2010/11/main" uri="{B97F6D7D-B522-45F9-BDA1-12C45D357490}">
          <x15:cacheHierarchy aggregatedColumn="0"/>
        </ext>
      </extLst>
    </cacheHierarchy>
    <cacheHierarchy uniqueName="[Measures].[Count of Sale_ID]" caption="Count of Sale_ID" measure="1" displayFolder="" measureGroup="Table1" count="0" hidden="1">
      <extLst>
        <ext xmlns:x15="http://schemas.microsoft.com/office/spreadsheetml/2010/11/main" uri="{B97F6D7D-B522-45F9-BDA1-12C45D357490}">
          <x15:cacheHierarchy aggregatedColumn="0"/>
        </ext>
      </extLst>
    </cacheHierarchy>
    <cacheHierarchy uniqueName="[Measures].[Average of Sale_ID]" caption="Average of Sale_ID" measure="1" displayFolder="" measureGroup="Table1" count="0" hidden="1">
      <extLst>
        <ext xmlns:x15="http://schemas.microsoft.com/office/spreadsheetml/2010/11/main" uri="{B97F6D7D-B522-45F9-BDA1-12C45D357490}">
          <x15:cacheHierarchy aggregatedColumn="0"/>
        </ext>
      </extLst>
    </cacheHierarchy>
    <cacheHierarchy uniqueName="[Measures].[Average of Revenue_USD]" caption="Average of Revenue_USD" measure="1" displayFolder="" measureGroup="Table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refreshedDate="46110.601396527774" backgroundQuery="1" createdVersion="7" refreshedVersion="7" minRefreshableVersion="3" recordCount="0" supportSubquery="1" supportAdvancedDrill="1" xr:uid="{5A00DDC3-28A2-46AC-826D-DADF6BF47C8E}">
  <cacheSource type="external" connectionId="1"/>
  <cacheFields count="4">
    <cacheField name="[Measures].[Sum of Revenue_USD]" caption="Sum of Revenue_USD" numFmtId="0" hierarchy="13" level="32767"/>
    <cacheField name="[Table1].[Month].[Month]" caption="Month" numFmtId="0" hierarchy="10" level="1">
      <sharedItems count="12">
        <s v="April"/>
        <s v="August"/>
        <s v="December"/>
        <s v="February"/>
        <s v="January"/>
        <s v="July"/>
        <s v="June"/>
        <s v="March"/>
        <s v="May"/>
        <s v="November"/>
        <s v="October"/>
        <s v="September"/>
      </sharedItems>
    </cacheField>
    <cacheField name="[Table1].[Brand].[Brand]" caption="Brand" numFmtId="0" hierarchy="2" level="1">
      <sharedItems count="8">
        <s v="Dior"/>
        <s v="Estee Lauder"/>
        <s v="Fenty Beauty"/>
        <s v="Huda Beauty"/>
        <s v="L'Oreal"/>
        <s v="MAC"/>
        <s v="Maybelline"/>
        <s v="NARS"/>
      </sharedItems>
    </cacheField>
    <cacheField name="[Table1].[Payment_Method].[Payment_Method]" caption="Payment_Method" numFmtId="0" hierarchy="6" level="1">
      <sharedItems count="3">
        <s v="Card"/>
        <s v="Cash"/>
        <s v="Digital Wallet"/>
      </sharedItems>
    </cacheField>
  </cacheFields>
  <cacheHierarchies count="20">
    <cacheHierarchy uniqueName="[Table1].[Sale_ID]" caption="Sale_ID" attribute="1" defaultMemberUniqueName="[Table1].[Sale_ID].[All]" allUniqueName="[Table1].[Sale_ID].[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Brand]" caption="Brand" attribute="1" defaultMemberUniqueName="[Table1].[Brand].[All]" allUniqueName="[Table1].[Brand].[All]" dimensionUniqueName="[Table1]" displayFolder="" count="2" memberValueDatatype="130" unbalanced="0">
      <fieldsUsage count="2">
        <fieldUsage x="-1"/>
        <fieldUsage x="2"/>
      </fieldsUsage>
    </cacheHierarchy>
    <cacheHierarchy uniqueName="[Table1].[Product_Type]" caption="Product_Type" attribute="1" defaultMemberUniqueName="[Table1].[Product_Type].[All]" allUniqueName="[Table1].[Product_Type].[All]" dimensionUniqueName="[Table1]" displayFolder="" count="2"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Sales_Channel]" caption="Sales_Channel" attribute="1" defaultMemberUniqueName="[Table1].[Sales_Channel].[All]" allUniqueName="[Table1].[Sales_Channel].[All]" dimensionUniqueName="[Table1]" displayFolder="" count="0" memberValueDatatype="130" unbalanced="0"/>
    <cacheHierarchy uniqueName="[Table1].[Payment_Method]" caption="Payment_Method" attribute="1" defaultMemberUniqueName="[Table1].[Payment_Method].[All]" allUniqueName="[Table1].[Payment_Method].[All]" dimensionUniqueName="[Table1]" displayFolder="" count="2" memberValueDatatype="130" unbalanced="0">
      <fieldsUsage count="2">
        <fieldUsage x="-1"/>
        <fieldUsage x="3"/>
      </fieldsUsage>
    </cacheHierarchy>
    <cacheHierarchy uniqueName="[Table1].[Price_USD]" caption="Price_USD" attribute="1" defaultMemberUniqueName="[Table1].[Price_USD].[All]" allUniqueName="[Table1].[Price_USD].[All]" dimensionUniqueName="[Table1]" displayFolder="" count="0" memberValueDatatype="5" unbalanced="0"/>
    <cacheHierarchy uniqueName="[Table1].[Units_Sold]" caption="Units_Sold" attribute="1" defaultMemberUniqueName="[Table1].[Units_Sold].[All]" allUniqueName="[Table1].[Units_Sold].[All]" dimensionUniqueName="[Table1]" displayFolder="" count="0" memberValueDatatype="20" unbalanced="0"/>
    <cacheHierarchy uniqueName="[Table1].[Revenue_USD]" caption="Revenue_USD" attribute="1" defaultMemberUniqueName="[Table1].[Revenue_USD].[All]" allUniqueName="[Table1].[Revenue_USD].[All]" dimensionUniqueName="[Table1]" displayFolder="" count="0" memberValueDatatype="5" unbalanced="0"/>
    <cacheHierarchy uniqueName="[Table1].[Month]" caption="Month" attribute="1" defaultMemberUniqueName="[Table1].[Month].[All]" allUniqueName="[Table1].[Month].[All]" dimensionUniqueName="[Table1]" displayFolder="" count="2" memberValueDatatype="130" unbalanced="0">
      <fieldsUsage count="2">
        <fieldUsage x="-1"/>
        <fieldUsage x="1"/>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_USD]" caption="Sum of Revenue_USD" measure="1" displayFolder="" measureGroup="Table1"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Units_Sold]" caption="Sum of Units_Sold" measure="1" displayFolder="" measureGroup="Table1" count="0" hidden="1">
      <extLst>
        <ext xmlns:x15="http://schemas.microsoft.com/office/spreadsheetml/2010/11/main" uri="{B97F6D7D-B522-45F9-BDA1-12C45D357490}">
          <x15:cacheHierarchy aggregatedColumn="8"/>
        </ext>
      </extLst>
    </cacheHierarchy>
    <cacheHierarchy uniqueName="[Measures].[Count of Units_Sold]" caption="Count of Units_Sold" measure="1" displayFolder="" measureGroup="Table1" count="0" hidden="1">
      <extLst>
        <ext xmlns:x15="http://schemas.microsoft.com/office/spreadsheetml/2010/11/main" uri="{B97F6D7D-B522-45F9-BDA1-12C45D357490}">
          <x15:cacheHierarchy aggregatedColumn="8"/>
        </ext>
      </extLst>
    </cacheHierarchy>
    <cacheHierarchy uniqueName="[Measures].[Sum of Sale_ID]" caption="Sum of Sale_ID" measure="1" displayFolder="" measureGroup="Table1" count="0" hidden="1">
      <extLst>
        <ext xmlns:x15="http://schemas.microsoft.com/office/spreadsheetml/2010/11/main" uri="{B97F6D7D-B522-45F9-BDA1-12C45D357490}">
          <x15:cacheHierarchy aggregatedColumn="0"/>
        </ext>
      </extLst>
    </cacheHierarchy>
    <cacheHierarchy uniqueName="[Measures].[Count of Sale_ID]" caption="Count of Sale_ID" measure="1" displayFolder="" measureGroup="Table1" count="0" hidden="1">
      <extLst>
        <ext xmlns:x15="http://schemas.microsoft.com/office/spreadsheetml/2010/11/main" uri="{B97F6D7D-B522-45F9-BDA1-12C45D357490}">
          <x15:cacheHierarchy aggregatedColumn="0"/>
        </ext>
      </extLst>
    </cacheHierarchy>
    <cacheHierarchy uniqueName="[Measures].[Average of Sale_ID]" caption="Average of Sale_ID" measure="1" displayFolder="" measureGroup="Table1" count="0" hidden="1">
      <extLst>
        <ext xmlns:x15="http://schemas.microsoft.com/office/spreadsheetml/2010/11/main" uri="{B97F6D7D-B522-45F9-BDA1-12C45D357490}">
          <x15:cacheHierarchy aggregatedColumn="0"/>
        </ext>
      </extLst>
    </cacheHierarchy>
    <cacheHierarchy uniqueName="[Measures].[Average of Revenue_USD]" caption="Average of Revenue_USD" measure="1" displayFolder="" measureGroup="Table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refreshedDate="46110.601397106482" backgroundQuery="1" createdVersion="7" refreshedVersion="7" minRefreshableVersion="3" recordCount="0" supportSubquery="1" supportAdvancedDrill="1" xr:uid="{E27A729F-96EF-47B3-9B1A-E684BB84746E}">
  <cacheSource type="external" connectionId="1"/>
  <cacheFields count="5">
    <cacheField name="[Measures].[Sum of Revenue_USD]" caption="Sum of Revenue_USD" numFmtId="0" hierarchy="13" level="32767"/>
    <cacheField name="[Table1].[Month].[Month]" caption="Month" numFmtId="0" hierarchy="10" level="1">
      <sharedItems count="12">
        <s v="April"/>
        <s v="August"/>
        <s v="December"/>
        <s v="February"/>
        <s v="January"/>
        <s v="July"/>
        <s v="June"/>
        <s v="March"/>
        <s v="May"/>
        <s v="November"/>
        <s v="October"/>
        <s v="September"/>
      </sharedItems>
    </cacheField>
    <cacheField name="[Table1].[Brand].[Brand]" caption="Brand" numFmtId="0" hierarchy="2" level="1">
      <sharedItems count="8">
        <s v="Dior"/>
        <s v="Estee Lauder"/>
        <s v="Fenty Beauty"/>
        <s v="Huda Beauty"/>
        <s v="L'Oreal"/>
        <s v="MAC"/>
        <s v="Maybelline"/>
        <s v="NARS"/>
      </sharedItems>
    </cacheField>
    <cacheField name="[Table1].[Payment_Method].[Payment_Method]" caption="Payment_Method" numFmtId="0" hierarchy="6" level="1">
      <sharedItems count="3">
        <s v="Card"/>
        <s v="Cash"/>
        <s v="Digital Wallet"/>
      </sharedItems>
    </cacheField>
    <cacheField name="[Table1].[Sales_Channel].[Sales_Channel]" caption="Sales_Channel" numFmtId="0" hierarchy="5" level="1">
      <sharedItems count="4">
        <s v="Beauty Salon"/>
        <s v="Mall"/>
        <s v="Online"/>
        <s v="Retail Store"/>
      </sharedItems>
    </cacheField>
  </cacheFields>
  <cacheHierarchies count="20">
    <cacheHierarchy uniqueName="[Table1].[Sale_ID]" caption="Sale_ID" attribute="1" defaultMemberUniqueName="[Table1].[Sale_ID].[All]" allUniqueName="[Table1].[Sale_ID].[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Brand]" caption="Brand" attribute="1" defaultMemberUniqueName="[Table1].[Brand].[All]" allUniqueName="[Table1].[Brand].[All]" dimensionUniqueName="[Table1]" displayFolder="" count="2" memberValueDatatype="130" unbalanced="0">
      <fieldsUsage count="2">
        <fieldUsage x="-1"/>
        <fieldUsage x="2"/>
      </fieldsUsage>
    </cacheHierarchy>
    <cacheHierarchy uniqueName="[Table1].[Product_Type]" caption="Product_Type" attribute="1" defaultMemberUniqueName="[Table1].[Product_Type].[All]" allUniqueName="[Table1].[Product_Type].[All]" dimensionUniqueName="[Table1]" displayFolder="" count="2"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Sales_Channel]" caption="Sales_Channel" attribute="1" defaultMemberUniqueName="[Table1].[Sales_Channel].[All]" allUniqueName="[Table1].[Sales_Channel].[All]" dimensionUniqueName="[Table1]" displayFolder="" count="2" memberValueDatatype="130" unbalanced="0">
      <fieldsUsage count="2">
        <fieldUsage x="-1"/>
        <fieldUsage x="4"/>
      </fieldsUsage>
    </cacheHierarchy>
    <cacheHierarchy uniqueName="[Table1].[Payment_Method]" caption="Payment_Method" attribute="1" defaultMemberUniqueName="[Table1].[Payment_Method].[All]" allUniqueName="[Table1].[Payment_Method].[All]" dimensionUniqueName="[Table1]" displayFolder="" count="2" memberValueDatatype="130" unbalanced="0">
      <fieldsUsage count="2">
        <fieldUsage x="-1"/>
        <fieldUsage x="3"/>
      </fieldsUsage>
    </cacheHierarchy>
    <cacheHierarchy uniqueName="[Table1].[Price_USD]" caption="Price_USD" attribute="1" defaultMemberUniqueName="[Table1].[Price_USD].[All]" allUniqueName="[Table1].[Price_USD].[All]" dimensionUniqueName="[Table1]" displayFolder="" count="0" memberValueDatatype="5" unbalanced="0"/>
    <cacheHierarchy uniqueName="[Table1].[Units_Sold]" caption="Units_Sold" attribute="1" defaultMemberUniqueName="[Table1].[Units_Sold].[All]" allUniqueName="[Table1].[Units_Sold].[All]" dimensionUniqueName="[Table1]" displayFolder="" count="0" memberValueDatatype="20" unbalanced="0"/>
    <cacheHierarchy uniqueName="[Table1].[Revenue_USD]" caption="Revenue_USD" attribute="1" defaultMemberUniqueName="[Table1].[Revenue_USD].[All]" allUniqueName="[Table1].[Revenue_USD].[All]" dimensionUniqueName="[Table1]" displayFolder="" count="0" memberValueDatatype="5" unbalanced="0"/>
    <cacheHierarchy uniqueName="[Table1].[Month]" caption="Month" attribute="1" defaultMemberUniqueName="[Table1].[Month].[All]" allUniqueName="[Table1].[Month].[All]" dimensionUniqueName="[Table1]" displayFolder="" count="2" memberValueDatatype="130" unbalanced="0">
      <fieldsUsage count="2">
        <fieldUsage x="-1"/>
        <fieldUsage x="1"/>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_USD]" caption="Sum of Revenue_USD" measure="1" displayFolder="" measureGroup="Table1"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Units_Sold]" caption="Sum of Units_Sold" measure="1" displayFolder="" measureGroup="Table1" count="0" hidden="1">
      <extLst>
        <ext xmlns:x15="http://schemas.microsoft.com/office/spreadsheetml/2010/11/main" uri="{B97F6D7D-B522-45F9-BDA1-12C45D357490}">
          <x15:cacheHierarchy aggregatedColumn="8"/>
        </ext>
      </extLst>
    </cacheHierarchy>
    <cacheHierarchy uniqueName="[Measures].[Count of Units_Sold]" caption="Count of Units_Sold" measure="1" displayFolder="" measureGroup="Table1" count="0" hidden="1">
      <extLst>
        <ext xmlns:x15="http://schemas.microsoft.com/office/spreadsheetml/2010/11/main" uri="{B97F6D7D-B522-45F9-BDA1-12C45D357490}">
          <x15:cacheHierarchy aggregatedColumn="8"/>
        </ext>
      </extLst>
    </cacheHierarchy>
    <cacheHierarchy uniqueName="[Measures].[Sum of Sale_ID]" caption="Sum of Sale_ID" measure="1" displayFolder="" measureGroup="Table1" count="0" hidden="1">
      <extLst>
        <ext xmlns:x15="http://schemas.microsoft.com/office/spreadsheetml/2010/11/main" uri="{B97F6D7D-B522-45F9-BDA1-12C45D357490}">
          <x15:cacheHierarchy aggregatedColumn="0"/>
        </ext>
      </extLst>
    </cacheHierarchy>
    <cacheHierarchy uniqueName="[Measures].[Count of Sale_ID]" caption="Count of Sale_ID" measure="1" displayFolder="" measureGroup="Table1" count="0" hidden="1">
      <extLst>
        <ext xmlns:x15="http://schemas.microsoft.com/office/spreadsheetml/2010/11/main" uri="{B97F6D7D-B522-45F9-BDA1-12C45D357490}">
          <x15:cacheHierarchy aggregatedColumn="0"/>
        </ext>
      </extLst>
    </cacheHierarchy>
    <cacheHierarchy uniqueName="[Measures].[Average of Sale_ID]" caption="Average of Sale_ID" measure="1" displayFolder="" measureGroup="Table1" count="0" hidden="1">
      <extLst>
        <ext xmlns:x15="http://schemas.microsoft.com/office/spreadsheetml/2010/11/main" uri="{B97F6D7D-B522-45F9-BDA1-12C45D357490}">
          <x15:cacheHierarchy aggregatedColumn="0"/>
        </ext>
      </extLst>
    </cacheHierarchy>
    <cacheHierarchy uniqueName="[Measures].[Average of Revenue_USD]" caption="Average of Revenue_USD" measure="1" displayFolder="" measureGroup="Table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refreshedDate="46110.601397453705" backgroundQuery="1" createdVersion="7" refreshedVersion="7" minRefreshableVersion="3" recordCount="0" supportSubquery="1" supportAdvancedDrill="1" xr:uid="{CF39F424-0B0B-4909-A599-BD4B17FC554C}">
  <cacheSource type="external" connectionId="1"/>
  <cacheFields count="3">
    <cacheField name="[Measures].[Sum of Revenue_USD]" caption="Sum of Revenue_USD" numFmtId="0" hierarchy="13" level="32767"/>
    <cacheField name="[Table1].[Month].[Month]" caption="Month" numFmtId="0" hierarchy="10" level="1">
      <sharedItems count="12">
        <s v="April"/>
        <s v="August"/>
        <s v="December"/>
        <s v="February"/>
        <s v="January"/>
        <s v="July"/>
        <s v="June"/>
        <s v="March"/>
        <s v="May"/>
        <s v="November"/>
        <s v="October"/>
        <s v="September"/>
      </sharedItems>
    </cacheField>
    <cacheField name="[Table1].[Brand].[Brand]" caption="Brand" numFmtId="0" hierarchy="2" level="1">
      <sharedItems count="8">
        <s v="Dior"/>
        <s v="Estee Lauder"/>
        <s v="Fenty Beauty"/>
        <s v="Huda Beauty"/>
        <s v="L'Oreal"/>
        <s v="MAC"/>
        <s v="Maybelline"/>
        <s v="NARS"/>
      </sharedItems>
    </cacheField>
  </cacheFields>
  <cacheHierarchies count="20">
    <cacheHierarchy uniqueName="[Table1].[Sale_ID]" caption="Sale_ID" attribute="1" defaultMemberUniqueName="[Table1].[Sale_ID].[All]" allUniqueName="[Table1].[Sale_ID].[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Brand]" caption="Brand" attribute="1" defaultMemberUniqueName="[Table1].[Brand].[All]" allUniqueName="[Table1].[Brand].[All]" dimensionUniqueName="[Table1]" displayFolder="" count="2" memberValueDatatype="130" unbalanced="0">
      <fieldsUsage count="2">
        <fieldUsage x="-1"/>
        <fieldUsage x="2"/>
      </fieldsUsage>
    </cacheHierarchy>
    <cacheHierarchy uniqueName="[Table1].[Product_Type]" caption="Product_Type" attribute="1" defaultMemberUniqueName="[Table1].[Product_Type].[All]" allUniqueName="[Table1].[Product_Type].[All]" dimensionUniqueName="[Table1]" displayFolder="" count="2"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Sales_Channel]" caption="Sales_Channel" attribute="1" defaultMemberUniqueName="[Table1].[Sales_Channel].[All]" allUniqueName="[Table1].[Sales_Channel].[All]" dimensionUniqueName="[Table1]" displayFolder="" count="0" memberValueDatatype="130"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Price_USD]" caption="Price_USD" attribute="1" defaultMemberUniqueName="[Table1].[Price_USD].[All]" allUniqueName="[Table1].[Price_USD].[All]" dimensionUniqueName="[Table1]" displayFolder="" count="0" memberValueDatatype="5" unbalanced="0"/>
    <cacheHierarchy uniqueName="[Table1].[Units_Sold]" caption="Units_Sold" attribute="1" defaultMemberUniqueName="[Table1].[Units_Sold].[All]" allUniqueName="[Table1].[Units_Sold].[All]" dimensionUniqueName="[Table1]" displayFolder="" count="0" memberValueDatatype="20" unbalanced="0"/>
    <cacheHierarchy uniqueName="[Table1].[Revenue_USD]" caption="Revenue_USD" attribute="1" defaultMemberUniqueName="[Table1].[Revenue_USD].[All]" allUniqueName="[Table1].[Revenue_USD].[All]" dimensionUniqueName="[Table1]" displayFolder="" count="0" memberValueDatatype="5" unbalanced="0"/>
    <cacheHierarchy uniqueName="[Table1].[Month]" caption="Month" attribute="1" defaultMemberUniqueName="[Table1].[Month].[All]" allUniqueName="[Table1].[Month].[All]" dimensionUniqueName="[Table1]" displayFolder="" count="2" memberValueDatatype="130" unbalanced="0">
      <fieldsUsage count="2">
        <fieldUsage x="-1"/>
        <fieldUsage x="1"/>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_USD]" caption="Sum of Revenue_USD" measure="1" displayFolder="" measureGroup="Table1"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Units_Sold]" caption="Sum of Units_Sold" measure="1" displayFolder="" measureGroup="Table1" count="0" hidden="1">
      <extLst>
        <ext xmlns:x15="http://schemas.microsoft.com/office/spreadsheetml/2010/11/main" uri="{B97F6D7D-B522-45F9-BDA1-12C45D357490}">
          <x15:cacheHierarchy aggregatedColumn="8"/>
        </ext>
      </extLst>
    </cacheHierarchy>
    <cacheHierarchy uniqueName="[Measures].[Count of Units_Sold]" caption="Count of Units_Sold" measure="1" displayFolder="" measureGroup="Table1" count="0" hidden="1">
      <extLst>
        <ext xmlns:x15="http://schemas.microsoft.com/office/spreadsheetml/2010/11/main" uri="{B97F6D7D-B522-45F9-BDA1-12C45D357490}">
          <x15:cacheHierarchy aggregatedColumn="8"/>
        </ext>
      </extLst>
    </cacheHierarchy>
    <cacheHierarchy uniqueName="[Measures].[Sum of Sale_ID]" caption="Sum of Sale_ID" measure="1" displayFolder="" measureGroup="Table1" count="0" hidden="1">
      <extLst>
        <ext xmlns:x15="http://schemas.microsoft.com/office/spreadsheetml/2010/11/main" uri="{B97F6D7D-B522-45F9-BDA1-12C45D357490}">
          <x15:cacheHierarchy aggregatedColumn="0"/>
        </ext>
      </extLst>
    </cacheHierarchy>
    <cacheHierarchy uniqueName="[Measures].[Count of Sale_ID]" caption="Count of Sale_ID" measure="1" displayFolder="" measureGroup="Table1" count="0" hidden="1">
      <extLst>
        <ext xmlns:x15="http://schemas.microsoft.com/office/spreadsheetml/2010/11/main" uri="{B97F6D7D-B522-45F9-BDA1-12C45D357490}">
          <x15:cacheHierarchy aggregatedColumn="0"/>
        </ext>
      </extLst>
    </cacheHierarchy>
    <cacheHierarchy uniqueName="[Measures].[Average of Sale_ID]" caption="Average of Sale_ID" measure="1" displayFolder="" measureGroup="Table1" count="0" hidden="1">
      <extLst>
        <ext xmlns:x15="http://schemas.microsoft.com/office/spreadsheetml/2010/11/main" uri="{B97F6D7D-B522-45F9-BDA1-12C45D357490}">
          <x15:cacheHierarchy aggregatedColumn="0"/>
        </ext>
      </extLst>
    </cacheHierarchy>
    <cacheHierarchy uniqueName="[Measures].[Average of Revenue_USD]" caption="Average of Revenue_USD" measure="1" displayFolder="" measureGroup="Table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refreshedDate="46110.601397685183" backgroundQuery="1" createdVersion="7" refreshedVersion="7" minRefreshableVersion="3" recordCount="0" supportSubquery="1" supportAdvancedDrill="1" xr:uid="{5B3CC420-E25B-460D-9DAF-23A1452752B9}">
  <cacheSource type="external" connectionId="1"/>
  <cacheFields count="2">
    <cacheField name="[Table1].[Month].[Month]" caption="Month" numFmtId="0" hierarchy="10" level="1">
      <sharedItems count="12">
        <s v="April"/>
        <s v="August"/>
        <s v="December"/>
        <s v="February"/>
        <s v="January"/>
        <s v="July"/>
        <s v="June"/>
        <s v="March"/>
        <s v="May"/>
        <s v="November"/>
        <s v="October"/>
        <s v="September"/>
      </sharedItems>
    </cacheField>
    <cacheField name="[Measures].[Count of Sale_ID]" caption="Count of Sale_ID" numFmtId="0" hierarchy="17" level="32767"/>
  </cacheFields>
  <cacheHierarchies count="20">
    <cacheHierarchy uniqueName="[Table1].[Sale_ID]" caption="Sale_ID" attribute="1" defaultMemberUniqueName="[Table1].[Sale_ID].[All]" allUniqueName="[Table1].[Sale_ID].[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Brand]" caption="Brand" attribute="1" defaultMemberUniqueName="[Table1].[Brand].[All]" allUniqueName="[Table1].[Brand].[All]" dimensionUniqueName="[Table1]" displayFolder="" count="2" memberValueDatatype="130" unbalanced="0"/>
    <cacheHierarchy uniqueName="[Table1].[Product_Type]" caption="Product_Type" attribute="1" defaultMemberUniqueName="[Table1].[Product_Type].[All]" allUniqueName="[Table1].[Product_Type].[All]" dimensionUniqueName="[Table1]" displayFolder="" count="2"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Sales_Channel]" caption="Sales_Channel" attribute="1" defaultMemberUniqueName="[Table1].[Sales_Channel].[All]" allUniqueName="[Table1].[Sales_Channel].[All]" dimensionUniqueName="[Table1]" displayFolder="" count="0" memberValueDatatype="130"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Price_USD]" caption="Price_USD" attribute="1" defaultMemberUniqueName="[Table1].[Price_USD].[All]" allUniqueName="[Table1].[Price_USD].[All]" dimensionUniqueName="[Table1]" displayFolder="" count="0" memberValueDatatype="5" unbalanced="0"/>
    <cacheHierarchy uniqueName="[Table1].[Units_Sold]" caption="Units_Sold" attribute="1" defaultMemberUniqueName="[Table1].[Units_Sold].[All]" allUniqueName="[Table1].[Units_Sold].[All]" dimensionUniqueName="[Table1]" displayFolder="" count="0" memberValueDatatype="20" unbalanced="0"/>
    <cacheHierarchy uniqueName="[Table1].[Revenue_USD]" caption="Revenue_USD" attribute="1" defaultMemberUniqueName="[Table1].[Revenue_USD].[All]" allUniqueName="[Table1].[Revenue_USD].[All]" dimensionUniqueName="[Table1]" displayFolder="" count="0" memberValueDatatype="5" unbalanced="0"/>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_USD]" caption="Sum of Revenue_USD" measure="1" displayFolder="" measureGroup="Table1" count="0" hidden="1">
      <extLst>
        <ext xmlns:x15="http://schemas.microsoft.com/office/spreadsheetml/2010/11/main" uri="{B97F6D7D-B522-45F9-BDA1-12C45D357490}">
          <x15:cacheHierarchy aggregatedColumn="9"/>
        </ext>
      </extLst>
    </cacheHierarchy>
    <cacheHierarchy uniqueName="[Measures].[Sum of Units_Sold]" caption="Sum of Units_Sold" measure="1" displayFolder="" measureGroup="Table1" count="0" hidden="1">
      <extLst>
        <ext xmlns:x15="http://schemas.microsoft.com/office/spreadsheetml/2010/11/main" uri="{B97F6D7D-B522-45F9-BDA1-12C45D357490}">
          <x15:cacheHierarchy aggregatedColumn="8"/>
        </ext>
      </extLst>
    </cacheHierarchy>
    <cacheHierarchy uniqueName="[Measures].[Count of Units_Sold]" caption="Count of Units_Sold" measure="1" displayFolder="" measureGroup="Table1" count="0" hidden="1">
      <extLst>
        <ext xmlns:x15="http://schemas.microsoft.com/office/spreadsheetml/2010/11/main" uri="{B97F6D7D-B522-45F9-BDA1-12C45D357490}">
          <x15:cacheHierarchy aggregatedColumn="8"/>
        </ext>
      </extLst>
    </cacheHierarchy>
    <cacheHierarchy uniqueName="[Measures].[Sum of Sale_ID]" caption="Sum of Sale_ID" measure="1" displayFolder="" measureGroup="Table1" count="0" hidden="1">
      <extLst>
        <ext xmlns:x15="http://schemas.microsoft.com/office/spreadsheetml/2010/11/main" uri="{B97F6D7D-B522-45F9-BDA1-12C45D357490}">
          <x15:cacheHierarchy aggregatedColumn="0"/>
        </ext>
      </extLst>
    </cacheHierarchy>
    <cacheHierarchy uniqueName="[Measures].[Count of Sale_ID]" caption="Count of Sale_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Average of Sale_ID]" caption="Average of Sale_ID" measure="1" displayFolder="" measureGroup="Table1" count="0" hidden="1">
      <extLst>
        <ext xmlns:x15="http://schemas.microsoft.com/office/spreadsheetml/2010/11/main" uri="{B97F6D7D-B522-45F9-BDA1-12C45D357490}">
          <x15:cacheHierarchy aggregatedColumn="0"/>
        </ext>
      </extLst>
    </cacheHierarchy>
    <cacheHierarchy uniqueName="[Measures].[Average of Revenue_USD]" caption="Average of Revenue_USD" measure="1" displayFolder="" measureGroup="Table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refreshedDate="46110.601398263891" backgroundQuery="1" createdVersion="7" refreshedVersion="7" minRefreshableVersion="3" recordCount="0" supportSubquery="1" supportAdvancedDrill="1" xr:uid="{8EB26109-9495-453A-A7D3-77E730E0DEAB}">
  <cacheSource type="external" connectionId="1"/>
  <cacheFields count="2">
    <cacheField name="[Table1].[Month].[Month]" caption="Month" numFmtId="0" hierarchy="10" level="1">
      <sharedItems count="12">
        <s v="April"/>
        <s v="August"/>
        <s v="December"/>
        <s v="February"/>
        <s v="January"/>
        <s v="July"/>
        <s v="June"/>
        <s v="March"/>
        <s v="May"/>
        <s v="November"/>
        <s v="October"/>
        <s v="September"/>
      </sharedItems>
    </cacheField>
    <cacheField name="[Measures].[Average of Revenue_USD]" caption="Average of Revenue_USD" numFmtId="0" hierarchy="19" level="32767"/>
  </cacheFields>
  <cacheHierarchies count="20">
    <cacheHierarchy uniqueName="[Table1].[Sale_ID]" caption="Sale_ID" attribute="1" defaultMemberUniqueName="[Table1].[Sale_ID].[All]" allUniqueName="[Table1].[Sale_ID].[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Brand]" caption="Brand" attribute="1" defaultMemberUniqueName="[Table1].[Brand].[All]" allUniqueName="[Table1].[Brand].[All]" dimensionUniqueName="[Table1]" displayFolder="" count="2" memberValueDatatype="130" unbalanced="0"/>
    <cacheHierarchy uniqueName="[Table1].[Product_Type]" caption="Product_Type" attribute="1" defaultMemberUniqueName="[Table1].[Product_Type].[All]" allUniqueName="[Table1].[Product_Type].[All]" dimensionUniqueName="[Table1]" displayFolder="" count="2"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Sales_Channel]" caption="Sales_Channel" attribute="1" defaultMemberUniqueName="[Table1].[Sales_Channel].[All]" allUniqueName="[Table1].[Sales_Channel].[All]" dimensionUniqueName="[Table1]" displayFolder="" count="0" memberValueDatatype="130"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Price_USD]" caption="Price_USD" attribute="1" defaultMemberUniqueName="[Table1].[Price_USD].[All]" allUniqueName="[Table1].[Price_USD].[All]" dimensionUniqueName="[Table1]" displayFolder="" count="0" memberValueDatatype="5" unbalanced="0"/>
    <cacheHierarchy uniqueName="[Table1].[Units_Sold]" caption="Units_Sold" attribute="1" defaultMemberUniqueName="[Table1].[Units_Sold].[All]" allUniqueName="[Table1].[Units_Sold].[All]" dimensionUniqueName="[Table1]" displayFolder="" count="0" memberValueDatatype="20" unbalanced="0"/>
    <cacheHierarchy uniqueName="[Table1].[Revenue_USD]" caption="Revenue_USD" attribute="1" defaultMemberUniqueName="[Table1].[Revenue_USD].[All]" allUniqueName="[Table1].[Revenue_USD].[All]" dimensionUniqueName="[Table1]" displayFolder="" count="0" memberValueDatatype="5" unbalanced="0"/>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_USD]" caption="Sum of Revenue_USD" measure="1" displayFolder="" measureGroup="Table1" count="0" hidden="1">
      <extLst>
        <ext xmlns:x15="http://schemas.microsoft.com/office/spreadsheetml/2010/11/main" uri="{B97F6D7D-B522-45F9-BDA1-12C45D357490}">
          <x15:cacheHierarchy aggregatedColumn="9"/>
        </ext>
      </extLst>
    </cacheHierarchy>
    <cacheHierarchy uniqueName="[Measures].[Sum of Units_Sold]" caption="Sum of Units_Sold" measure="1" displayFolder="" measureGroup="Table1" count="0" hidden="1">
      <extLst>
        <ext xmlns:x15="http://schemas.microsoft.com/office/spreadsheetml/2010/11/main" uri="{B97F6D7D-B522-45F9-BDA1-12C45D357490}">
          <x15:cacheHierarchy aggregatedColumn="8"/>
        </ext>
      </extLst>
    </cacheHierarchy>
    <cacheHierarchy uniqueName="[Measures].[Count of Units_Sold]" caption="Count of Units_Sold" measure="1" displayFolder="" measureGroup="Table1" count="0" hidden="1">
      <extLst>
        <ext xmlns:x15="http://schemas.microsoft.com/office/spreadsheetml/2010/11/main" uri="{B97F6D7D-B522-45F9-BDA1-12C45D357490}">
          <x15:cacheHierarchy aggregatedColumn="8"/>
        </ext>
      </extLst>
    </cacheHierarchy>
    <cacheHierarchy uniqueName="[Measures].[Sum of Sale_ID]" caption="Sum of Sale_ID" measure="1" displayFolder="" measureGroup="Table1" count="0" hidden="1">
      <extLst>
        <ext xmlns:x15="http://schemas.microsoft.com/office/spreadsheetml/2010/11/main" uri="{B97F6D7D-B522-45F9-BDA1-12C45D357490}">
          <x15:cacheHierarchy aggregatedColumn="0"/>
        </ext>
      </extLst>
    </cacheHierarchy>
    <cacheHierarchy uniqueName="[Measures].[Count of Sale_ID]" caption="Count of Sale_ID" measure="1" displayFolder="" measureGroup="Table1" count="0" hidden="1">
      <extLst>
        <ext xmlns:x15="http://schemas.microsoft.com/office/spreadsheetml/2010/11/main" uri="{B97F6D7D-B522-45F9-BDA1-12C45D357490}">
          <x15:cacheHierarchy aggregatedColumn="0"/>
        </ext>
      </extLst>
    </cacheHierarchy>
    <cacheHierarchy uniqueName="[Measures].[Average of Sale_ID]" caption="Average of Sale_ID" measure="1" displayFolder="" measureGroup="Table1" count="0" hidden="1">
      <extLst>
        <ext xmlns:x15="http://schemas.microsoft.com/office/spreadsheetml/2010/11/main" uri="{B97F6D7D-B522-45F9-BDA1-12C45D357490}">
          <x15:cacheHierarchy aggregatedColumn="0"/>
        </ext>
      </extLst>
    </cacheHierarchy>
    <cacheHierarchy uniqueName="[Measures].[Average of Revenue_USD]" caption="Average of Revenue_USD" measure="1" displayFolder="" measureGroup="Table1"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refreshedDate="46110.459264120371" backgroundQuery="1" createdVersion="3" refreshedVersion="7" minRefreshableVersion="3" recordCount="0" supportSubquery="1" supportAdvancedDrill="1" xr:uid="{10A5C272-9984-4315-8400-02047C6C983D}">
  <cacheSource type="external" connectionId="1">
    <extLst>
      <ext xmlns:x14="http://schemas.microsoft.com/office/spreadsheetml/2009/9/main" uri="{F057638F-6D5F-4e77-A914-E7F072B9BCA8}">
        <x14:sourceConnection name="ThisWorkbookDataModel"/>
      </ext>
    </extLst>
  </cacheSource>
  <cacheFields count="0"/>
  <cacheHierarchies count="20">
    <cacheHierarchy uniqueName="[Table1].[Sale_ID]" caption="Sale_ID" attribute="1" defaultMemberUniqueName="[Table1].[Sale_ID].[All]" allUniqueName="[Table1].[Sale_ID].[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Brand]" caption="Brand" attribute="1" defaultMemberUniqueName="[Table1].[Brand].[All]" allUniqueName="[Table1].[Brand].[All]" dimensionUniqueName="[Table1]" displayFolder="" count="2" memberValueDatatype="130" unbalanced="0"/>
    <cacheHierarchy uniqueName="[Table1].[Product_Type]" caption="Product_Type" attribute="1" defaultMemberUniqueName="[Table1].[Product_Type].[All]" allUniqueName="[Table1].[Product_Type].[All]" dimensionUniqueName="[Table1]" displayFolder="" count="2"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Sales_Channel]" caption="Sales_Channel" attribute="1" defaultMemberUniqueName="[Table1].[Sales_Channel].[All]" allUniqueName="[Table1].[Sales_Channel].[All]" dimensionUniqueName="[Table1]" displayFolder="" count="0" memberValueDatatype="130"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Price_USD]" caption="Price_USD" attribute="1" defaultMemberUniqueName="[Table1].[Price_USD].[All]" allUniqueName="[Table1].[Price_USD].[All]" dimensionUniqueName="[Table1]" displayFolder="" count="0" memberValueDatatype="5" unbalanced="0"/>
    <cacheHierarchy uniqueName="[Table1].[Units_Sold]" caption="Units_Sold" attribute="1" defaultMemberUniqueName="[Table1].[Units_Sold].[All]" allUniqueName="[Table1].[Units_Sold].[All]" dimensionUniqueName="[Table1]" displayFolder="" count="0" memberValueDatatype="20" unbalanced="0"/>
    <cacheHierarchy uniqueName="[Table1].[Revenue_USD]" caption="Revenue_USD" attribute="1" defaultMemberUniqueName="[Table1].[Revenue_USD].[All]" allUniqueName="[Table1].[Revenue_USD].[All]" dimensionUniqueName="[Table1]" displayFolder="" count="0" memberValueDatatype="5" unbalanced="0"/>
    <cacheHierarchy uniqueName="[Table1].[Month]" caption="Month" attribute="1" defaultMemberUniqueName="[Table1].[Month].[All]" allUniqueName="[Table1].[Month].[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_USD]" caption="Sum of Revenue_USD" measure="1" displayFolder="" measureGroup="Table1" count="0" hidden="1">
      <extLst>
        <ext xmlns:x15="http://schemas.microsoft.com/office/spreadsheetml/2010/11/main" uri="{B97F6D7D-B522-45F9-BDA1-12C45D357490}">
          <x15:cacheHierarchy aggregatedColumn="9"/>
        </ext>
      </extLst>
    </cacheHierarchy>
    <cacheHierarchy uniqueName="[Measures].[Sum of Units_Sold]" caption="Sum of Units_Sold" measure="1" displayFolder="" measureGroup="Table1" count="0" hidden="1">
      <extLst>
        <ext xmlns:x15="http://schemas.microsoft.com/office/spreadsheetml/2010/11/main" uri="{B97F6D7D-B522-45F9-BDA1-12C45D357490}">
          <x15:cacheHierarchy aggregatedColumn="8"/>
        </ext>
      </extLst>
    </cacheHierarchy>
    <cacheHierarchy uniqueName="[Measures].[Count of Units_Sold]" caption="Count of Units_Sold" measure="1" displayFolder="" measureGroup="Table1" count="0" hidden="1">
      <extLst>
        <ext xmlns:x15="http://schemas.microsoft.com/office/spreadsheetml/2010/11/main" uri="{B97F6D7D-B522-45F9-BDA1-12C45D357490}">
          <x15:cacheHierarchy aggregatedColumn="8"/>
        </ext>
      </extLst>
    </cacheHierarchy>
    <cacheHierarchy uniqueName="[Measures].[Sum of Sale_ID]" caption="Sum of Sale_ID" measure="1" displayFolder="" measureGroup="Table1" count="0" hidden="1">
      <extLst>
        <ext xmlns:x15="http://schemas.microsoft.com/office/spreadsheetml/2010/11/main" uri="{B97F6D7D-B522-45F9-BDA1-12C45D357490}">
          <x15:cacheHierarchy aggregatedColumn="0"/>
        </ext>
      </extLst>
    </cacheHierarchy>
    <cacheHierarchy uniqueName="[Measures].[Count of Sale_ID]" caption="Count of Sale_ID" measure="1" displayFolder="" measureGroup="Table1" count="0" hidden="1">
      <extLst>
        <ext xmlns:x15="http://schemas.microsoft.com/office/spreadsheetml/2010/11/main" uri="{B97F6D7D-B522-45F9-BDA1-12C45D357490}">
          <x15:cacheHierarchy aggregatedColumn="0"/>
        </ext>
      </extLst>
    </cacheHierarchy>
    <cacheHierarchy uniqueName="[Measures].[Average of Sale_ID]" caption="Average of Sale_ID" measure="1" displayFolder="" measureGroup="Table1" count="0" hidden="1">
      <extLst>
        <ext xmlns:x15="http://schemas.microsoft.com/office/spreadsheetml/2010/11/main" uri="{B97F6D7D-B522-45F9-BDA1-12C45D357490}">
          <x15:cacheHierarchy aggregatedColumn="0"/>
        </ext>
      </extLst>
    </cacheHierarchy>
    <cacheHierarchy uniqueName="[Measures].[Average of Revenue_USD]" caption="Average of Revenue_USD" measure="1" displayFolder="" measureGroup="Table1"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88188485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091E0A-9B53-4923-A09D-69CD4C60B0BC}" name="PivotTable6" cacheId="1441" applyNumberFormats="0" applyBorderFormats="0" applyFontFormats="0" applyPatternFormats="0" applyAlignmentFormats="0" applyWidthHeightFormats="1" dataCaption="Values" tag="0b1a0755-4f53-440f-bffa-485490b23fd8" updatedVersion="7" minRefreshableVersion="3" useAutoFormatting="1" subtotalHiddenItems="1" itemPrintTitles="1" createdVersion="7" indent="0" outline="1" outlineData="1" multipleFieldFilters="0" chartFormat="3" rowHeaderCaption="Sales Channel">
  <location ref="E21:F26"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4">
        <item x="0"/>
        <item x="1"/>
        <item x="2"/>
        <item x="3"/>
      </items>
    </pivotField>
  </pivotFields>
  <rowFields count="1">
    <field x="4"/>
  </rowFields>
  <rowItems count="5">
    <i>
      <x/>
    </i>
    <i>
      <x v="1"/>
    </i>
    <i>
      <x v="2"/>
    </i>
    <i>
      <x v="3"/>
    </i>
    <i t="grand">
      <x/>
    </i>
  </rowItems>
  <colItems count="1">
    <i/>
  </colItems>
  <dataFields count="1">
    <dataField name="Total Revenue" fld="0" baseField="0" baseItem="0"/>
  </dataFields>
  <formats count="40">
    <format dxfId="6780">
      <pivotArea field="4" type="button" dataOnly="0" labelOnly="1" outline="0" axis="axisRow" fieldPosition="0"/>
    </format>
    <format dxfId="6781">
      <pivotArea dataOnly="0" labelOnly="1" outline="0" axis="axisValues" fieldPosition="0"/>
    </format>
    <format dxfId="6782">
      <pivotArea field="4" type="button" dataOnly="0" labelOnly="1" outline="0" axis="axisRow" fieldPosition="0"/>
    </format>
    <format dxfId="6783">
      <pivotArea dataOnly="0" labelOnly="1" outline="0" axis="axisValues" fieldPosition="0"/>
    </format>
    <format dxfId="6784">
      <pivotArea type="all" dataOnly="0" outline="0" fieldPosition="0"/>
    </format>
    <format dxfId="6785">
      <pivotArea outline="0" collapsedLevelsAreSubtotals="1" fieldPosition="0"/>
    </format>
    <format dxfId="6786">
      <pivotArea field="4" type="button" dataOnly="0" labelOnly="1" outline="0" axis="axisRow" fieldPosition="0"/>
    </format>
    <format dxfId="6787">
      <pivotArea dataOnly="0" labelOnly="1" fieldPosition="0">
        <references count="1">
          <reference field="4" count="0"/>
        </references>
      </pivotArea>
    </format>
    <format dxfId="6788">
      <pivotArea dataOnly="0" labelOnly="1" grandRow="1" outline="0" fieldPosition="0"/>
    </format>
    <format dxfId="6789">
      <pivotArea dataOnly="0" labelOnly="1" outline="0" axis="axisValues" fieldPosition="0"/>
    </format>
    <format dxfId="6790">
      <pivotArea type="all" dataOnly="0" outline="0" fieldPosition="0"/>
    </format>
    <format dxfId="6791">
      <pivotArea outline="0" collapsedLevelsAreSubtotals="1" fieldPosition="0"/>
    </format>
    <format dxfId="6792">
      <pivotArea field="4" type="button" dataOnly="0" labelOnly="1" outline="0" axis="axisRow" fieldPosition="0"/>
    </format>
    <format dxfId="6793">
      <pivotArea dataOnly="0" labelOnly="1" fieldPosition="0">
        <references count="1">
          <reference field="4" count="0"/>
        </references>
      </pivotArea>
    </format>
    <format dxfId="6794">
      <pivotArea dataOnly="0" labelOnly="1" grandRow="1" outline="0" fieldPosition="0"/>
    </format>
    <format dxfId="6795">
      <pivotArea dataOnly="0" labelOnly="1" outline="0" axis="axisValues" fieldPosition="0"/>
    </format>
    <format dxfId="6796">
      <pivotArea type="all" dataOnly="0" outline="0" fieldPosition="0"/>
    </format>
    <format dxfId="6797">
      <pivotArea outline="0" collapsedLevelsAreSubtotals="1" fieldPosition="0"/>
    </format>
    <format dxfId="6798">
      <pivotArea field="4" type="button" dataOnly="0" labelOnly="1" outline="0" axis="axisRow" fieldPosition="0"/>
    </format>
    <format dxfId="6799">
      <pivotArea dataOnly="0" labelOnly="1" fieldPosition="0">
        <references count="1">
          <reference field="4" count="0"/>
        </references>
      </pivotArea>
    </format>
    <format dxfId="6800">
      <pivotArea dataOnly="0" labelOnly="1" grandRow="1" outline="0" fieldPosition="0"/>
    </format>
    <format dxfId="6801">
      <pivotArea dataOnly="0" labelOnly="1" outline="0" axis="axisValues" fieldPosition="0"/>
    </format>
    <format dxfId="6802">
      <pivotArea type="all" dataOnly="0" outline="0" fieldPosition="0"/>
    </format>
    <format dxfId="6803">
      <pivotArea outline="0" collapsedLevelsAreSubtotals="1" fieldPosition="0"/>
    </format>
    <format dxfId="6804">
      <pivotArea field="4" type="button" dataOnly="0" labelOnly="1" outline="0" axis="axisRow" fieldPosition="0"/>
    </format>
    <format dxfId="6805">
      <pivotArea dataOnly="0" labelOnly="1" fieldPosition="0">
        <references count="1">
          <reference field="4" count="0"/>
        </references>
      </pivotArea>
    </format>
    <format dxfId="6806">
      <pivotArea dataOnly="0" labelOnly="1" grandRow="1" outline="0" fieldPosition="0"/>
    </format>
    <format dxfId="6807">
      <pivotArea dataOnly="0" labelOnly="1" outline="0" axis="axisValues" fieldPosition="0"/>
    </format>
    <format dxfId="111">
      <pivotArea type="all" dataOnly="0" outline="0" fieldPosition="0"/>
    </format>
    <format dxfId="104">
      <pivotArea outline="0" collapsedLevelsAreSubtotals="1" fieldPosition="0"/>
    </format>
    <format dxfId="103">
      <pivotArea field="4" type="button" dataOnly="0" labelOnly="1" outline="0" axis="axisRow" fieldPosition="0"/>
    </format>
    <format dxfId="102">
      <pivotArea dataOnly="0" labelOnly="1" fieldPosition="0">
        <references count="1">
          <reference field="4" count="0"/>
        </references>
      </pivotArea>
    </format>
    <format dxfId="101">
      <pivotArea dataOnly="0" labelOnly="1" grandRow="1" outline="0" fieldPosition="0"/>
    </format>
    <format dxfId="100">
      <pivotArea dataOnly="0" labelOnly="1" outline="0" axis="axisValues" fieldPosition="0"/>
    </format>
    <format dxfId="56">
      <pivotArea type="all" dataOnly="0" outline="0" fieldPosition="0"/>
    </format>
    <format dxfId="55">
      <pivotArea outline="0" collapsedLevelsAreSubtotals="1" fieldPosition="0"/>
    </format>
    <format dxfId="54">
      <pivotArea field="4" type="button" dataOnly="0" labelOnly="1" outline="0" axis="axisRow" fieldPosition="0"/>
    </format>
    <format dxfId="53">
      <pivotArea dataOnly="0" labelOnly="1" fieldPosition="0">
        <references count="1">
          <reference field="4" count="0"/>
        </references>
      </pivotArea>
    </format>
    <format dxfId="52">
      <pivotArea dataOnly="0" labelOnly="1" grandRow="1" outline="0" fieldPosition="0"/>
    </format>
    <format dxfId="51">
      <pivotArea dataOnly="0" labelOnly="1" outline="0" axis="axisValues"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4" count="1" selected="0">
            <x v="0"/>
          </reference>
        </references>
      </pivotArea>
    </chartFormat>
    <chartFormat chart="2" format="8">
      <pivotArea type="data" outline="0" fieldPosition="0">
        <references count="2">
          <reference field="4294967294" count="1" selected="0">
            <x v="0"/>
          </reference>
          <reference field="4" count="1" selected="0">
            <x v="1"/>
          </reference>
        </references>
      </pivotArea>
    </chartFormat>
    <chartFormat chart="2" format="9">
      <pivotArea type="data" outline="0" fieldPosition="0">
        <references count="2">
          <reference field="4294967294" count="1" selected="0">
            <x v="0"/>
          </reference>
          <reference field="4" count="1" selected="0">
            <x v="2"/>
          </reference>
        </references>
      </pivotArea>
    </chartFormat>
    <chartFormat chart="2" format="10">
      <pivotArea type="data" outline="0" fieldPosition="0">
        <references count="2">
          <reference field="4294967294" count="1" selected="0">
            <x v="0"/>
          </reference>
          <reference field="4" count="1" selected="0">
            <x v="3"/>
          </reference>
        </references>
      </pivotArea>
    </chartFormat>
  </chartFormats>
  <pivotHierarchies count="20">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keup_sales_dataset_clea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22C139-A47E-4EED-BDE0-73E679459F4B}" name="PivotTable3" cacheId="1432" applyNumberFormats="0" applyBorderFormats="0" applyFontFormats="0" applyPatternFormats="0" applyAlignmentFormats="0" applyWidthHeightFormats="1" dataCaption="Values" tag="fe340591-10b5-423c-be74-81b7e12c3c63" updatedVersion="7" minRefreshableVersion="3" useAutoFormatting="1" subtotalHiddenItems="1" itemPrintTitles="1" createdVersion="7" indent="0" outline="1" outlineData="1" multipleFieldFilters="0" chartFormat="3" rowHeaderCaption="Brand">
  <location ref="A9:B18"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s>
  <rowFields count="1">
    <field x="2"/>
  </rowFields>
  <rowItems count="9">
    <i>
      <x v="5"/>
    </i>
    <i>
      <x v="4"/>
    </i>
    <i>
      <x/>
    </i>
    <i>
      <x v="2"/>
    </i>
    <i>
      <x v="7"/>
    </i>
    <i>
      <x v="1"/>
    </i>
    <i>
      <x v="3"/>
    </i>
    <i>
      <x v="6"/>
    </i>
    <i t="grand">
      <x/>
    </i>
  </rowItems>
  <colItems count="1">
    <i/>
  </colItems>
  <dataFields count="1">
    <dataField name="Total Revenue" fld="0" baseField="0" baseItem="0"/>
  </dataFields>
  <formats count="38">
    <format dxfId="6860">
      <pivotArea field="2" type="button" dataOnly="0" labelOnly="1" outline="0" axis="axisRow" fieldPosition="0"/>
    </format>
    <format dxfId="6861">
      <pivotArea dataOnly="0" labelOnly="1" outline="0" axis="axisValues" fieldPosition="0"/>
    </format>
    <format dxfId="6862">
      <pivotArea type="all" dataOnly="0" outline="0" fieldPosition="0"/>
    </format>
    <format dxfId="6863">
      <pivotArea outline="0" collapsedLevelsAreSubtotals="1" fieldPosition="0"/>
    </format>
    <format dxfId="6864">
      <pivotArea field="2" type="button" dataOnly="0" labelOnly="1" outline="0" axis="axisRow" fieldPosition="0"/>
    </format>
    <format dxfId="6865">
      <pivotArea dataOnly="0" labelOnly="1" fieldPosition="0">
        <references count="1">
          <reference field="2" count="0"/>
        </references>
      </pivotArea>
    </format>
    <format dxfId="6866">
      <pivotArea dataOnly="0" labelOnly="1" grandRow="1" outline="0" fieldPosition="0"/>
    </format>
    <format dxfId="6867">
      <pivotArea dataOnly="0" labelOnly="1" outline="0" axis="axisValues" fieldPosition="0"/>
    </format>
    <format dxfId="6868">
      <pivotArea type="all" dataOnly="0" outline="0" fieldPosition="0"/>
    </format>
    <format dxfId="6869">
      <pivotArea outline="0" collapsedLevelsAreSubtotals="1" fieldPosition="0"/>
    </format>
    <format dxfId="6870">
      <pivotArea field="2" type="button" dataOnly="0" labelOnly="1" outline="0" axis="axisRow" fieldPosition="0"/>
    </format>
    <format dxfId="6871">
      <pivotArea dataOnly="0" labelOnly="1" fieldPosition="0">
        <references count="1">
          <reference field="2" count="0"/>
        </references>
      </pivotArea>
    </format>
    <format dxfId="6872">
      <pivotArea dataOnly="0" labelOnly="1" grandRow="1" outline="0" fieldPosition="0"/>
    </format>
    <format dxfId="6873">
      <pivotArea dataOnly="0" labelOnly="1" outline="0" axis="axisValues" fieldPosition="0"/>
    </format>
    <format dxfId="6874">
      <pivotArea type="all" dataOnly="0" outline="0" fieldPosition="0"/>
    </format>
    <format dxfId="6875">
      <pivotArea outline="0" collapsedLevelsAreSubtotals="1" fieldPosition="0"/>
    </format>
    <format dxfId="6876">
      <pivotArea field="2" type="button" dataOnly="0" labelOnly="1" outline="0" axis="axisRow" fieldPosition="0"/>
    </format>
    <format dxfId="6877">
      <pivotArea dataOnly="0" labelOnly="1" fieldPosition="0">
        <references count="1">
          <reference field="2" count="0"/>
        </references>
      </pivotArea>
    </format>
    <format dxfId="6878">
      <pivotArea dataOnly="0" labelOnly="1" grandRow="1" outline="0" fieldPosition="0"/>
    </format>
    <format dxfId="6879">
      <pivotArea dataOnly="0" labelOnly="1" outline="0" axis="axisValues" fieldPosition="0"/>
    </format>
    <format dxfId="6880">
      <pivotArea type="all" dataOnly="0" outline="0" fieldPosition="0"/>
    </format>
    <format dxfId="6881">
      <pivotArea outline="0" collapsedLevelsAreSubtotals="1" fieldPosition="0"/>
    </format>
    <format dxfId="6882">
      <pivotArea field="2" type="button" dataOnly="0" labelOnly="1" outline="0" axis="axisRow" fieldPosition="0"/>
    </format>
    <format dxfId="6883">
      <pivotArea dataOnly="0" labelOnly="1" fieldPosition="0">
        <references count="1">
          <reference field="2" count="0"/>
        </references>
      </pivotArea>
    </format>
    <format dxfId="6884">
      <pivotArea dataOnly="0" labelOnly="1" grandRow="1" outline="0" fieldPosition="0"/>
    </format>
    <format dxfId="6885">
      <pivotArea dataOnly="0" labelOnly="1" outline="0" axis="axisValues" fieldPosition="0"/>
    </format>
    <format dxfId="137">
      <pivotArea type="all" dataOnly="0" outline="0" fieldPosition="0"/>
    </format>
    <format dxfId="130">
      <pivotArea outline="0" collapsedLevelsAreSubtotals="1" fieldPosition="0"/>
    </format>
    <format dxfId="129">
      <pivotArea field="2" type="button" dataOnly="0" labelOnly="1" outline="0" axis="axisRow" fieldPosition="0"/>
    </format>
    <format dxfId="128">
      <pivotArea dataOnly="0" labelOnly="1" fieldPosition="0">
        <references count="1">
          <reference field="2" count="0"/>
        </references>
      </pivotArea>
    </format>
    <format dxfId="127">
      <pivotArea dataOnly="0" labelOnly="1" grandRow="1" outline="0" fieldPosition="0"/>
    </format>
    <format dxfId="126">
      <pivotArea dataOnly="0" labelOnly="1" outline="0" axis="axisValues" fieldPosition="0"/>
    </format>
    <format dxfId="49">
      <pivotArea type="all" dataOnly="0" outline="0" fieldPosition="0"/>
    </format>
    <format dxfId="48">
      <pivotArea outline="0" collapsedLevelsAreSubtotals="1" fieldPosition="0"/>
    </format>
    <format dxfId="47">
      <pivotArea field="2" type="button" dataOnly="0" labelOnly="1" outline="0" axis="axisRow" fieldPosition="0"/>
    </format>
    <format dxfId="46">
      <pivotArea dataOnly="0" labelOnly="1" fieldPosition="0">
        <references count="1">
          <reference field="2" count="0"/>
        </references>
      </pivotArea>
    </format>
    <format dxfId="45">
      <pivotArea dataOnly="0" labelOnly="1" grandRow="1" outline="0" fieldPosition="0"/>
    </format>
    <format dxfId="44">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Hierarchies count="20">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keup_sales_dataset_clea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81D6A6-2E30-4E22-B1FB-3827AB8BC8BA}" name="PivotTable2" cacheId="1429" applyNumberFormats="0" applyBorderFormats="0" applyFontFormats="0" applyPatternFormats="0" applyAlignmentFormats="0" applyWidthHeightFormats="1" dataCaption="Values" tag="d0657234-f1af-4d0b-9823-df95f7c50ec5" updatedVersion="7" minRefreshableVersion="3" useAutoFormatting="1" subtotalHiddenItems="1" itemPrintTitles="1" createdVersion="7" indent="0" outline="1" outlineData="1" multipleFieldFilters="0" chartFormat="7" rowHeaderCaption="Products">
  <location ref="D29:F38" firstHeaderRow="0" firstDataRow="1" firstDataCol="1"/>
  <pivotFields count="4">
    <pivotField dataField="1" subtotalTop="0" showAll="0" defaultSubtotal="0"/>
    <pivotField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2"/>
  </rowFields>
  <rowItems count="9">
    <i>
      <x v="7"/>
    </i>
    <i>
      <x v="3"/>
    </i>
    <i>
      <x v="2"/>
    </i>
    <i>
      <x v="5"/>
    </i>
    <i>
      <x v="1"/>
    </i>
    <i>
      <x v="4"/>
    </i>
    <i>
      <x/>
    </i>
    <i>
      <x v="6"/>
    </i>
    <i t="grand">
      <x/>
    </i>
  </rowItems>
  <colFields count="1">
    <field x="-2"/>
  </colFields>
  <colItems count="2">
    <i>
      <x/>
    </i>
    <i i="1">
      <x v="1"/>
    </i>
  </colItems>
  <dataFields count="2">
    <dataField name="Total Revenue" fld="0" baseField="0" baseItem="0"/>
    <dataField name="Units_Sold" fld="3" subtotal="count" baseField="2" baseItem="5"/>
  </dataFields>
  <formats count="85">
    <format dxfId="6886">
      <pivotArea type="all" dataOnly="0" outline="0" fieldPosition="0"/>
    </format>
    <format dxfId="6887">
      <pivotArea outline="0" collapsedLevelsAreSubtotals="1" fieldPosition="0"/>
    </format>
    <format dxfId="6888">
      <pivotArea field="2" type="button" dataOnly="0" labelOnly="1" outline="0" axis="axisRow" fieldPosition="0"/>
    </format>
    <format dxfId="6889">
      <pivotArea dataOnly="0" labelOnly="1" fieldPosition="0">
        <references count="1">
          <reference field="2" count="0"/>
        </references>
      </pivotArea>
    </format>
    <format dxfId="6890">
      <pivotArea dataOnly="0" labelOnly="1" outline="0" fieldPosition="0">
        <references count="1">
          <reference field="4294967294" count="2">
            <x v="0"/>
            <x v="1"/>
          </reference>
        </references>
      </pivotArea>
    </format>
    <format dxfId="6891">
      <pivotArea grandRow="1" outline="0" collapsedLevelsAreSubtotals="1" fieldPosition="0"/>
    </format>
    <format dxfId="6892">
      <pivotArea dataOnly="0" labelOnly="1" grandRow="1" outline="0" fieldPosition="0"/>
    </format>
    <format dxfId="6893">
      <pivotArea type="all" dataOnly="0" outline="0" fieldPosition="0"/>
    </format>
    <format dxfId="6894">
      <pivotArea outline="0" collapsedLevelsAreSubtotals="1" fieldPosition="0"/>
    </format>
    <format dxfId="6895">
      <pivotArea field="2" type="button" dataOnly="0" labelOnly="1" outline="0" axis="axisRow" fieldPosition="0"/>
    </format>
    <format dxfId="6896">
      <pivotArea dataOnly="0" labelOnly="1" fieldPosition="0">
        <references count="1">
          <reference field="2" count="0"/>
        </references>
      </pivotArea>
    </format>
    <format dxfId="6897">
      <pivotArea dataOnly="0" labelOnly="1" grandRow="1" outline="0" fieldPosition="0"/>
    </format>
    <format dxfId="6898">
      <pivotArea dataOnly="0" labelOnly="1" outline="0" fieldPosition="0">
        <references count="1">
          <reference field="4294967294" count="2">
            <x v="0"/>
            <x v="1"/>
          </reference>
        </references>
      </pivotArea>
    </format>
    <format dxfId="6899">
      <pivotArea field="2" type="button" dataOnly="0" labelOnly="1" outline="0" axis="axisRow" fieldPosition="0"/>
    </format>
    <format dxfId="6900">
      <pivotArea dataOnly="0" labelOnly="1" outline="0" fieldPosition="0">
        <references count="1">
          <reference field="4294967294" count="2">
            <x v="0"/>
            <x v="1"/>
          </reference>
        </references>
      </pivotArea>
    </format>
    <format dxfId="6901">
      <pivotArea field="2" type="button" dataOnly="0" labelOnly="1" outline="0" axis="axisRow" fieldPosition="0"/>
    </format>
    <format dxfId="6902">
      <pivotArea dataOnly="0" labelOnly="1" outline="0" fieldPosition="0">
        <references count="1">
          <reference field="4294967294" count="2">
            <x v="0"/>
            <x v="1"/>
          </reference>
        </references>
      </pivotArea>
    </format>
    <format dxfId="6903">
      <pivotArea type="all" dataOnly="0" outline="0" fieldPosition="0"/>
    </format>
    <format dxfId="6904">
      <pivotArea outline="0" collapsedLevelsAreSubtotals="1" fieldPosition="0"/>
    </format>
    <format dxfId="6905">
      <pivotArea field="2" type="button" dataOnly="0" labelOnly="1" outline="0" axis="axisRow" fieldPosition="0"/>
    </format>
    <format dxfId="6906">
      <pivotArea dataOnly="0" labelOnly="1" fieldPosition="0">
        <references count="1">
          <reference field="2" count="0"/>
        </references>
      </pivotArea>
    </format>
    <format dxfId="6907">
      <pivotArea dataOnly="0" labelOnly="1" grandRow="1" outline="0" fieldPosition="0"/>
    </format>
    <format dxfId="6908">
      <pivotArea dataOnly="0" labelOnly="1" outline="0" fieldPosition="0">
        <references count="1">
          <reference field="4294967294" count="2">
            <x v="0"/>
            <x v="1"/>
          </reference>
        </references>
      </pivotArea>
    </format>
    <format dxfId="6909">
      <pivotArea type="all" dataOnly="0" outline="0" fieldPosition="0"/>
    </format>
    <format dxfId="6910">
      <pivotArea outline="0" collapsedLevelsAreSubtotals="1" fieldPosition="0"/>
    </format>
    <format dxfId="6911">
      <pivotArea field="2" type="button" dataOnly="0" labelOnly="1" outline="0" axis="axisRow" fieldPosition="0"/>
    </format>
    <format dxfId="6912">
      <pivotArea dataOnly="0" labelOnly="1" fieldPosition="0">
        <references count="1">
          <reference field="2" count="0"/>
        </references>
      </pivotArea>
    </format>
    <format dxfId="6913">
      <pivotArea dataOnly="0" labelOnly="1" grandRow="1" outline="0" fieldPosition="0"/>
    </format>
    <format dxfId="6914">
      <pivotArea dataOnly="0" labelOnly="1" outline="0" fieldPosition="0">
        <references count="1">
          <reference field="4294967294" count="2">
            <x v="0"/>
            <x v="1"/>
          </reference>
        </references>
      </pivotArea>
    </format>
    <format dxfId="6915">
      <pivotArea type="all" dataOnly="0" outline="0" fieldPosition="0"/>
    </format>
    <format dxfId="6916">
      <pivotArea outline="0" collapsedLevelsAreSubtotals="1" fieldPosition="0"/>
    </format>
    <format dxfId="6917">
      <pivotArea field="2" type="button" dataOnly="0" labelOnly="1" outline="0" axis="axisRow" fieldPosition="0"/>
    </format>
    <format dxfId="6918">
      <pivotArea dataOnly="0" labelOnly="1" fieldPosition="0">
        <references count="1">
          <reference field="2" count="0"/>
        </references>
      </pivotArea>
    </format>
    <format dxfId="6919">
      <pivotArea dataOnly="0" labelOnly="1" grandRow="1" outline="0" fieldPosition="0"/>
    </format>
    <format dxfId="6920">
      <pivotArea dataOnly="0" labelOnly="1" outline="0" fieldPosition="0">
        <references count="1">
          <reference field="4294967294" count="2">
            <x v="0"/>
            <x v="1"/>
          </reference>
        </references>
      </pivotArea>
    </format>
    <format dxfId="6921">
      <pivotArea type="all" dataOnly="0" outline="0" fieldPosition="0"/>
    </format>
    <format dxfId="6922">
      <pivotArea outline="0" collapsedLevelsAreSubtotals="1" fieldPosition="0"/>
    </format>
    <format dxfId="6923">
      <pivotArea field="2" type="button" dataOnly="0" labelOnly="1" outline="0" axis="axisRow" fieldPosition="0"/>
    </format>
    <format dxfId="6924">
      <pivotArea dataOnly="0" labelOnly="1" fieldPosition="0">
        <references count="1">
          <reference field="2" count="0"/>
        </references>
      </pivotArea>
    </format>
    <format dxfId="6925">
      <pivotArea dataOnly="0" labelOnly="1" grandRow="1" outline="0" fieldPosition="0"/>
    </format>
    <format dxfId="6926">
      <pivotArea dataOnly="0" labelOnly="1" outline="0" fieldPosition="0">
        <references count="1">
          <reference field="4294967294" count="2">
            <x v="0"/>
            <x v="1"/>
          </reference>
        </references>
      </pivotArea>
    </format>
    <format dxfId="6927">
      <pivotArea field="2" type="button" dataOnly="0" labelOnly="1" outline="0" axis="axisRow" fieldPosition="0"/>
    </format>
    <format dxfId="6928">
      <pivotArea dataOnly="0" labelOnly="1" outline="0" fieldPosition="0">
        <references count="1">
          <reference field="4294967294" count="2">
            <x v="0"/>
            <x v="1"/>
          </reference>
        </references>
      </pivotArea>
    </format>
    <format dxfId="6929">
      <pivotArea grandRow="1" outline="0" collapsedLevelsAreSubtotals="1" fieldPosition="0"/>
    </format>
    <format dxfId="6930">
      <pivotArea dataOnly="0" labelOnly="1" grandRow="1" outline="0" fieldPosition="0"/>
    </format>
    <format dxfId="6931">
      <pivotArea dataOnly="0" fieldPosition="0">
        <references count="1">
          <reference field="2" count="0"/>
        </references>
      </pivotArea>
    </format>
    <format dxfId="6932">
      <pivotArea type="all" dataOnly="0" outline="0" fieldPosition="0"/>
    </format>
    <format dxfId="6933">
      <pivotArea field="2" type="button" dataOnly="0" labelOnly="1" outline="0" axis="axisRow" fieldPosition="0"/>
    </format>
    <format dxfId="6934">
      <pivotArea dataOnly="0" labelOnly="1" grandRow="1" outline="0" fieldPosition="0"/>
    </format>
    <format dxfId="6935">
      <pivotArea dataOnly="0" labelOnly="1" outline="0" fieldPosition="0">
        <references count="1">
          <reference field="4294967294" count="2">
            <x v="0"/>
            <x v="1"/>
          </reference>
        </references>
      </pivotArea>
    </format>
    <format dxfId="6936">
      <pivotArea field="2" type="button" dataOnly="0" labelOnly="1" outline="0" axis="axisRow" fieldPosition="0"/>
    </format>
    <format dxfId="6937">
      <pivotArea dataOnly="0" labelOnly="1" outline="0" fieldPosition="0">
        <references count="1">
          <reference field="4294967294" count="2">
            <x v="0"/>
            <x v="1"/>
          </reference>
        </references>
      </pivotArea>
    </format>
    <format dxfId="6938">
      <pivotArea grandRow="1" outline="0" collapsedLevelsAreSubtotals="1" fieldPosition="0"/>
    </format>
    <format dxfId="6939">
      <pivotArea dataOnly="0" labelOnly="1" grandRow="1" outline="0" fieldPosition="0"/>
    </format>
    <format dxfId="6940">
      <pivotArea type="all" dataOnly="0" outline="0" fieldPosition="0"/>
    </format>
    <format dxfId="6941">
      <pivotArea outline="0" collapsedLevelsAreSubtotals="1" fieldPosition="0"/>
    </format>
    <format dxfId="6942">
      <pivotArea dataOnly="0" labelOnly="1" fieldPosition="0">
        <references count="1">
          <reference field="2" count="0"/>
        </references>
      </pivotArea>
    </format>
    <format dxfId="6943">
      <pivotArea field="2" type="button" dataOnly="0" labelOnly="1" outline="0" axis="axisRow" fieldPosition="0"/>
    </format>
    <format dxfId="6944">
      <pivotArea dataOnly="0" labelOnly="1" outline="0" fieldPosition="0">
        <references count="1">
          <reference field="4294967294" count="2">
            <x v="0"/>
            <x v="1"/>
          </reference>
        </references>
      </pivotArea>
    </format>
    <format dxfId="6945">
      <pivotArea grandRow="1" outline="0" collapsedLevelsAreSubtotals="1" fieldPosition="0"/>
    </format>
    <format dxfId="6946">
      <pivotArea dataOnly="0" labelOnly="1" grandRow="1" outline="0" fieldPosition="0"/>
    </format>
    <format dxfId="6947">
      <pivotArea type="all" dataOnly="0" outline="0" fieldPosition="0"/>
    </format>
    <format dxfId="6948">
      <pivotArea outline="0" collapsedLevelsAreSubtotals="1" fieldPosition="0"/>
    </format>
    <format dxfId="6949">
      <pivotArea field="2" type="button" dataOnly="0" labelOnly="1" outline="0" axis="axisRow" fieldPosition="0"/>
    </format>
    <format dxfId="6950">
      <pivotArea dataOnly="0" labelOnly="1" fieldPosition="0">
        <references count="1">
          <reference field="2" count="0"/>
        </references>
      </pivotArea>
    </format>
    <format dxfId="6951">
      <pivotArea dataOnly="0" labelOnly="1" grandRow="1" outline="0" fieldPosition="0"/>
    </format>
    <format dxfId="6952">
      <pivotArea dataOnly="0" labelOnly="1" outline="0" fieldPosition="0">
        <references count="1">
          <reference field="4294967294" count="2">
            <x v="0"/>
            <x v="1"/>
          </reference>
        </references>
      </pivotArea>
    </format>
    <format dxfId="6953">
      <pivotArea type="all" dataOnly="0" outline="0" fieldPosition="0"/>
    </format>
    <format dxfId="6954">
      <pivotArea outline="0" collapsedLevelsAreSubtotals="1" fieldPosition="0"/>
    </format>
    <format dxfId="6955">
      <pivotArea field="2" type="button" dataOnly="0" labelOnly="1" outline="0" axis="axisRow" fieldPosition="0"/>
    </format>
    <format dxfId="6956">
      <pivotArea dataOnly="0" labelOnly="1" fieldPosition="0">
        <references count="1">
          <reference field="2" count="0"/>
        </references>
      </pivotArea>
    </format>
    <format dxfId="6957">
      <pivotArea dataOnly="0" labelOnly="1" grandRow="1" outline="0" fieldPosition="0"/>
    </format>
    <format dxfId="6958">
      <pivotArea dataOnly="0" labelOnly="1" outline="0" fieldPosition="0">
        <references count="1">
          <reference field="4294967294" count="2">
            <x v="0"/>
            <x v="1"/>
          </reference>
        </references>
      </pivotArea>
    </format>
    <format dxfId="68">
      <pivotArea type="all" dataOnly="0" outline="0" fieldPosition="0"/>
    </format>
    <format dxfId="61">
      <pivotArea outline="0" collapsedLevelsAreSubtotals="1" fieldPosition="0"/>
    </format>
    <format dxfId="60">
      <pivotArea field="2" type="button" dataOnly="0" labelOnly="1" outline="0" axis="axisRow" fieldPosition="0"/>
    </format>
    <format dxfId="59">
      <pivotArea dataOnly="0" labelOnly="1" fieldPosition="0">
        <references count="1">
          <reference field="2" count="0"/>
        </references>
      </pivotArea>
    </format>
    <format dxfId="58">
      <pivotArea dataOnly="0" labelOnly="1" grandRow="1" outline="0" fieldPosition="0"/>
    </format>
    <format dxfId="57">
      <pivotArea dataOnly="0" labelOnly="1" outline="0" fieldPosition="0">
        <references count="1">
          <reference field="4294967294" count="2">
            <x v="0"/>
            <x v="1"/>
          </reference>
        </references>
      </pivotArea>
    </format>
    <format dxfId="42">
      <pivotArea type="all" dataOnly="0" outline="0" fieldPosition="0"/>
    </format>
    <format dxfId="41">
      <pivotArea outline="0" collapsedLevelsAreSubtotals="1" fieldPosition="0"/>
    </format>
    <format dxfId="40">
      <pivotArea field="2" type="button" dataOnly="0" labelOnly="1" outline="0" axis="axisRow" fieldPosition="0"/>
    </format>
    <format dxfId="39">
      <pivotArea dataOnly="0" labelOnly="1" fieldPosition="0">
        <references count="1">
          <reference field="2" count="0"/>
        </references>
      </pivotArea>
    </format>
    <format dxfId="38">
      <pivotArea dataOnly="0" labelOnly="1" grandRow="1" outline="0" fieldPosition="0"/>
    </format>
    <format dxfId="37">
      <pivotArea dataOnly="0" labelOnly="1" outline="0" fieldPosition="0">
        <references count="1">
          <reference field="4294967294" count="2">
            <x v="0"/>
            <x v="1"/>
          </reference>
        </references>
      </pivotArea>
    </format>
  </formats>
  <chartFormats count="9">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6" format="6">
      <pivotArea type="data" outline="0" fieldPosition="0">
        <references count="2">
          <reference field="4294967294" count="1" selected="0">
            <x v="1"/>
          </reference>
          <reference field="2" count="1" selected="0">
            <x v="6"/>
          </reference>
        </references>
      </pivotArea>
    </chartFormat>
    <chartFormat chart="6" format="7">
      <pivotArea type="data" outline="0" fieldPosition="0">
        <references count="2">
          <reference field="4294967294" count="1" selected="0">
            <x v="1"/>
          </reference>
          <reference field="2" count="1" selected="0">
            <x v="0"/>
          </reference>
        </references>
      </pivotArea>
    </chartFormat>
    <chartFormat chart="6" format="8">
      <pivotArea type="data" outline="0" fieldPosition="0">
        <references count="2">
          <reference field="4294967294" count="1" selected="0">
            <x v="1"/>
          </reference>
          <reference field="2" count="1" selected="0">
            <x v="1"/>
          </reference>
        </references>
      </pivotArea>
    </chartFormat>
    <chartFormat chart="6" format="9">
      <pivotArea type="data" outline="0" fieldPosition="0">
        <references count="2">
          <reference field="4294967294" count="1" selected="0">
            <x v="1"/>
          </reference>
          <reference field="2" count="1" selected="0">
            <x v="4"/>
          </reference>
        </references>
      </pivotArea>
    </chartFormat>
    <chartFormat chart="6" format="10">
      <pivotArea type="data" outline="0" fieldPosition="0">
        <references count="2">
          <reference field="4294967294" count="1" selected="0">
            <x v="1"/>
          </reference>
          <reference field="2" count="1" selected="0">
            <x v="5"/>
          </reference>
        </references>
      </pivotArea>
    </chartFormat>
    <chartFormat chart="6" format="11">
      <pivotArea type="data" outline="0" fieldPosition="0">
        <references count="2">
          <reference field="4294967294" count="1" selected="0">
            <x v="1"/>
          </reference>
          <reference field="2" count="1" selected="0">
            <x v="2"/>
          </reference>
        </references>
      </pivotArea>
    </chartFormat>
    <chartFormat chart="6" format="12">
      <pivotArea type="data" outline="0" fieldPosition="0">
        <references count="2">
          <reference field="4294967294" count="1" selected="0">
            <x v="1"/>
          </reference>
          <reference field="2" count="1" selected="0">
            <x v="3"/>
          </reference>
        </references>
      </pivotArea>
    </chartFormat>
  </chartFormats>
  <pivotHierarchies count="20">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otal Revenue"/>
    <pivotHierarchy dragToData="1"/>
    <pivotHierarchy dragToData="1" caption="Units_Sol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keup_sales_dataset_clea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4E623B2-2107-4D01-9BD7-FF78C4AB75B9}" name="PivotTable10" cacheId="1426" applyNumberFormats="0" applyBorderFormats="0" applyFontFormats="0" applyPatternFormats="0" applyAlignmentFormats="0" applyWidthHeightFormats="1" dataCaption="Values" tag="a062df90-9b9c-48ad-b67a-1869b9d0f87a" updatedVersion="7" minRefreshableVersion="3" useAutoFormatting="1" subtotalHiddenItems="1" itemPrintTitles="1" createdVersion="7" indent="0" outline="1" outlineData="1" multipleFieldFilters="0" rowHeaderCaption="Brand">
  <location ref="D5:D6" firstHeaderRow="1" firstDataRow="1" firstDataCol="0"/>
  <pivotFields count="2">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Items count="1">
    <i/>
  </rowItems>
  <colItems count="1">
    <i/>
  </colItems>
  <dataFields count="1">
    <dataField name="Units_Sold" fld="1" baseField="0" baseItem="0"/>
  </dataFields>
  <formats count="37">
    <format dxfId="6959">
      <pivotArea dataOnly="0" labelOnly="1" outline="0" axis="axisValues" fieldPosition="0"/>
    </format>
    <format dxfId="6960">
      <pivotArea type="all" dataOnly="0" outline="0" fieldPosition="0"/>
    </format>
    <format dxfId="6961">
      <pivotArea outline="0" collapsedLevelsAreSubtotals="1" fieldPosition="0"/>
    </format>
    <format dxfId="6962">
      <pivotArea dataOnly="0" labelOnly="1" grandRow="1" outline="0" fieldPosition="0"/>
    </format>
    <format dxfId="6963">
      <pivotArea dataOnly="0" labelOnly="1" outline="0" axis="axisValues" fieldPosition="0"/>
    </format>
    <format dxfId="6964">
      <pivotArea type="all" dataOnly="0" outline="0" fieldPosition="0"/>
    </format>
    <format dxfId="6965">
      <pivotArea outline="0" collapsedLevelsAreSubtotals="1" fieldPosition="0"/>
    </format>
    <format dxfId="6966">
      <pivotArea dataOnly="0" labelOnly="1" grandRow="1" outline="0" fieldPosition="0"/>
    </format>
    <format dxfId="6967">
      <pivotArea dataOnly="0" labelOnly="1" outline="0" axis="axisValues" fieldPosition="0"/>
    </format>
    <format dxfId="6968">
      <pivotArea type="all" dataOnly="0" outline="0" fieldPosition="0"/>
    </format>
    <format dxfId="6969">
      <pivotArea outline="0" collapsedLevelsAreSubtotals="1" fieldPosition="0"/>
    </format>
    <format dxfId="6970">
      <pivotArea dataOnly="0" labelOnly="1" grandRow="1" outline="0" fieldPosition="0"/>
    </format>
    <format dxfId="6971">
      <pivotArea dataOnly="0" labelOnly="1" outline="0" axis="axisValues" fieldPosition="0"/>
    </format>
    <format dxfId="6972">
      <pivotArea type="all" dataOnly="0" outline="0" fieldPosition="0"/>
    </format>
    <format dxfId="6973">
      <pivotArea outline="0" collapsedLevelsAreSubtotals="1" fieldPosition="0"/>
    </format>
    <format dxfId="6974">
      <pivotArea dataOnly="0" labelOnly="1" grandRow="1" outline="0" fieldPosition="0"/>
    </format>
    <format dxfId="6975">
      <pivotArea dataOnly="0" labelOnly="1" outline="0" axis="axisValues" fieldPosition="0"/>
    </format>
    <format dxfId="6976">
      <pivotArea type="all" dataOnly="0" outline="0" fieldPosition="0"/>
    </format>
    <format dxfId="6977">
      <pivotArea dataOnly="0" labelOnly="1" outline="0" axis="axisValues" fieldPosition="0"/>
    </format>
    <format dxfId="232">
      <pivotArea dataOnly="0" labelOnly="1" outline="0" axis="axisValues" fieldPosition="0"/>
    </format>
    <format dxfId="221">
      <pivotArea type="all" dataOnly="0" outline="0" fieldPosition="0"/>
    </format>
    <format dxfId="220">
      <pivotArea outline="0" collapsedLevelsAreSubtotals="1" fieldPosition="0"/>
    </format>
    <format dxfId="218">
      <pivotArea dataOnly="0" labelOnly="1" outline="0" axis="axisValues" fieldPosition="0"/>
    </format>
    <format dxfId="201">
      <pivotArea type="all" dataOnly="0" outline="0" fieldPosition="0"/>
    </format>
    <format dxfId="200">
      <pivotArea dataOnly="0" labelOnly="1" outline="0" axis="axisValues" fieldPosition="0"/>
    </format>
    <format dxfId="189">
      <pivotArea outline="0" collapsedLevelsAreSubtotals="1" fieldPosition="0"/>
    </format>
    <format dxfId="181">
      <pivotArea outline="0" collapsedLevelsAreSubtotals="1" fieldPosition="0"/>
    </format>
    <format dxfId="177">
      <pivotArea outline="0" collapsedLevelsAreSubtotals="1" fieldPosition="0"/>
    </format>
    <format dxfId="169">
      <pivotArea type="all" dataOnly="0" outline="0" fieldPosition="0"/>
    </format>
    <format dxfId="168">
      <pivotArea outline="0" collapsedLevelsAreSubtotals="1" fieldPosition="0"/>
    </format>
    <format dxfId="167">
      <pivotArea dataOnly="0" labelOnly="1" outline="0" axis="axisValues" fieldPosition="0"/>
    </format>
    <format dxfId="153">
      <pivotArea type="all" dataOnly="0" outline="0" fieldPosition="0"/>
    </format>
    <format dxfId="152">
      <pivotArea outline="0" collapsedLevelsAreSubtotals="1" fieldPosition="0"/>
    </format>
    <format dxfId="151">
      <pivotArea dataOnly="0" labelOnly="1" outline="0" axis="axisValues" fieldPosition="0"/>
    </format>
    <format dxfId="36">
      <pivotArea type="all" dataOnly="0" outline="0" fieldPosition="0"/>
    </format>
    <format dxfId="35">
      <pivotArea outline="0" collapsedLevelsAreSubtotals="1" fieldPosition="0"/>
    </format>
    <format dxfId="34">
      <pivotArea dataOnly="0" labelOnly="1" outline="0" axis="axisValues" fieldPosition="0"/>
    </format>
  </formats>
  <pivotHierarchies count="20">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otal Revenue"/>
    <pivotHierarchy dragToData="1" caption="Units_Sold"/>
    <pivotHierarchy dragToData="1"/>
    <pivotHierarchy dragToData="1"/>
    <pivotHierarchy dragToData="1" caption="Units Sold"/>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keup_sales_dataset_clea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4C3F78-B167-4FC5-A4C3-E34090772409}" name="PivotTable9" cacheId="1450" applyNumberFormats="0" applyBorderFormats="0" applyFontFormats="0" applyPatternFormats="0" applyAlignmentFormats="0" applyWidthHeightFormats="1" dataCaption="Values" tag="f156f18a-c8b6-442f-b0d4-093f132d96dd" updatedVersion="7" minRefreshableVersion="3" useAutoFormatting="1" subtotalHiddenItems="1" itemPrintTitles="1" createdVersion="7" indent="0" outline="1" outlineData="1" multipleFieldFilters="0" rowHeaderCaption="Brand">
  <location ref="E5:E6" firstHeaderRow="1" firstDataRow="1" firstDataCol="0"/>
  <pivotFields count="2">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Items count="1">
    <i/>
  </rowItems>
  <colItems count="1">
    <i/>
  </colItems>
  <dataFields count="1">
    <dataField name="Average Sales Value" fld="1" subtotal="average" baseField="0" baseItem="9"/>
  </dataFields>
  <formats count="37">
    <format dxfId="6718">
      <pivotArea dataOnly="0" labelOnly="1" outline="0" axis="axisValues" fieldPosition="0"/>
    </format>
    <format dxfId="6719">
      <pivotArea type="all" dataOnly="0" outline="0" fieldPosition="0"/>
    </format>
    <format dxfId="6720">
      <pivotArea outline="0" collapsedLevelsAreSubtotals="1" fieldPosition="0"/>
    </format>
    <format dxfId="6721">
      <pivotArea dataOnly="0" labelOnly="1" grandRow="1" outline="0" fieldPosition="0"/>
    </format>
    <format dxfId="6722">
      <pivotArea dataOnly="0" labelOnly="1" outline="0" axis="axisValues" fieldPosition="0"/>
    </format>
    <format dxfId="6723">
      <pivotArea type="all" dataOnly="0" outline="0" fieldPosition="0"/>
    </format>
    <format dxfId="6724">
      <pivotArea outline="0" collapsedLevelsAreSubtotals="1" fieldPosition="0"/>
    </format>
    <format dxfId="6725">
      <pivotArea dataOnly="0" labelOnly="1" grandRow="1" outline="0" fieldPosition="0"/>
    </format>
    <format dxfId="6726">
      <pivotArea dataOnly="0" labelOnly="1" outline="0" axis="axisValues" fieldPosition="0"/>
    </format>
    <format dxfId="6727">
      <pivotArea type="all" dataOnly="0" outline="0" fieldPosition="0"/>
    </format>
    <format dxfId="6728">
      <pivotArea outline="0" collapsedLevelsAreSubtotals="1" fieldPosition="0"/>
    </format>
    <format dxfId="6729">
      <pivotArea dataOnly="0" labelOnly="1" grandRow="1" outline="0" fieldPosition="0"/>
    </format>
    <format dxfId="6730">
      <pivotArea dataOnly="0" labelOnly="1" outline="0" axis="axisValues" fieldPosition="0"/>
    </format>
    <format dxfId="6731">
      <pivotArea type="all" dataOnly="0" outline="0" fieldPosition="0"/>
    </format>
    <format dxfId="6732">
      <pivotArea outline="0" collapsedLevelsAreSubtotals="1" fieldPosition="0"/>
    </format>
    <format dxfId="6733">
      <pivotArea dataOnly="0" labelOnly="1" grandRow="1" outline="0" fieldPosition="0"/>
    </format>
    <format dxfId="6734">
      <pivotArea dataOnly="0" labelOnly="1" outline="0" axis="axisValues" fieldPosition="0"/>
    </format>
    <format dxfId="6735">
      <pivotArea type="all" dataOnly="0" outline="0" fieldPosition="0"/>
    </format>
    <format dxfId="6736">
      <pivotArea dataOnly="0" labelOnly="1" outline="0" axis="axisValues" fieldPosition="0"/>
    </format>
    <format dxfId="229">
      <pivotArea dataOnly="0" labelOnly="1" outline="0" axis="axisValues" fieldPosition="0"/>
    </format>
    <format dxfId="216">
      <pivotArea type="all" dataOnly="0" outline="0" fieldPosition="0"/>
    </format>
    <format dxfId="215">
      <pivotArea outline="0" collapsedLevelsAreSubtotals="1" fieldPosition="0"/>
    </format>
    <format dxfId="213">
      <pivotArea dataOnly="0" labelOnly="1" outline="0" axis="axisValues" fieldPosition="0"/>
    </format>
    <format dxfId="198">
      <pivotArea type="all" dataOnly="0" outline="0" fieldPosition="0"/>
    </format>
    <format dxfId="197">
      <pivotArea dataOnly="0" labelOnly="1" outline="0" axis="axisValues" fieldPosition="0"/>
    </format>
    <format dxfId="187">
      <pivotArea outline="0" collapsedLevelsAreSubtotals="1" fieldPosition="0"/>
    </format>
    <format dxfId="180">
      <pivotArea outline="0" collapsedLevelsAreSubtotals="1" fieldPosition="0"/>
    </format>
    <format dxfId="175">
      <pivotArea outline="0" collapsedLevelsAreSubtotals="1" fieldPosition="0"/>
    </format>
    <format dxfId="165">
      <pivotArea type="all" dataOnly="0" outline="0" fieldPosition="0"/>
    </format>
    <format dxfId="164">
      <pivotArea outline="0" collapsedLevelsAreSubtotals="1" fieldPosition="0"/>
    </format>
    <format dxfId="163">
      <pivotArea dataOnly="0" labelOnly="1" outline="0" axis="axisValues" fieldPosition="0"/>
    </format>
    <format dxfId="149">
      <pivotArea type="all" dataOnly="0" outline="0" fieldPosition="0"/>
    </format>
    <format dxfId="148">
      <pivotArea outline="0" collapsedLevelsAreSubtotals="1" fieldPosition="0"/>
    </format>
    <format dxfId="147">
      <pivotArea dataOnly="0" labelOnly="1" outline="0" axis="axisValues" fieldPosition="0"/>
    </format>
    <format dxfId="32">
      <pivotArea type="all" dataOnly="0" outline="0" fieldPosition="0"/>
    </format>
    <format dxfId="31">
      <pivotArea outline="0" collapsedLevelsAreSubtotals="1" fieldPosition="0"/>
    </format>
    <format dxfId="30">
      <pivotArea dataOnly="0" labelOnly="1" outline="0" axis="axisValues" fieldPosition="0"/>
    </format>
  </formats>
  <pivotHierarchies count="20">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caption="Total Orders"/>
    <pivotHierarchy dragToData="1" caption="Average Sales Value"/>
    <pivotHierarchy dragToData="1" caption="Average Sales Value"/>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keup_sales_dataset_clea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C9D0188-A6E7-46E6-B06F-82C5EA55DD61}" name="PivotTable7" cacheId="1444" applyNumberFormats="0" applyBorderFormats="0" applyFontFormats="0" applyPatternFormats="0" applyAlignmentFormats="0" applyWidthHeightFormats="1" dataCaption="Values" tag="12b31404-08be-4095-96da-281734020d32" updatedVersion="7" minRefreshableVersion="3" useAutoFormatting="1" subtotalHiddenItems="1" itemPrintTitles="1" createdVersion="7" indent="0" outline="1" outlineData="1" multipleFieldFilters="0" rowHeaderCaption="Brand">
  <location ref="B5:B6" firstHeaderRow="1" firstDataRow="1" firstDataCol="0"/>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s>
  <rowItems count="1">
    <i/>
  </rowItems>
  <colItems count="1">
    <i/>
  </colItems>
  <dataFields count="1">
    <dataField name="Total Revenue" fld="0" baseField="0" baseItem="0"/>
  </dataFields>
  <formats count="42">
    <format dxfId="6756">
      <pivotArea field="2" type="button" dataOnly="0" labelOnly="1" outline="0"/>
    </format>
    <format dxfId="6757">
      <pivotArea dataOnly="0" labelOnly="1" outline="0" axis="axisValues" fieldPosition="0"/>
    </format>
    <format dxfId="6758">
      <pivotArea type="all" dataOnly="0" outline="0" fieldPosition="0"/>
    </format>
    <format dxfId="6759">
      <pivotArea outline="0" collapsedLevelsAreSubtotals="1" fieldPosition="0"/>
    </format>
    <format dxfId="6760">
      <pivotArea field="2" type="button" dataOnly="0" labelOnly="1" outline="0"/>
    </format>
    <format dxfId="6761">
      <pivotArea dataOnly="0" labelOnly="1" grandRow="1" outline="0" fieldPosition="0"/>
    </format>
    <format dxfId="6762">
      <pivotArea dataOnly="0" labelOnly="1" outline="0" axis="axisValues" fieldPosition="0"/>
    </format>
    <format dxfId="6763">
      <pivotArea type="all" dataOnly="0" outline="0" fieldPosition="0"/>
    </format>
    <format dxfId="6764">
      <pivotArea outline="0" collapsedLevelsAreSubtotals="1" fieldPosition="0"/>
    </format>
    <format dxfId="6765">
      <pivotArea field="2" type="button" dataOnly="0" labelOnly="1" outline="0"/>
    </format>
    <format dxfId="6766">
      <pivotArea dataOnly="0" labelOnly="1" grandRow="1" outline="0" fieldPosition="0"/>
    </format>
    <format dxfId="6767">
      <pivotArea dataOnly="0" labelOnly="1" outline="0" axis="axisValues" fieldPosition="0"/>
    </format>
    <format dxfId="6768">
      <pivotArea type="all" dataOnly="0" outline="0" fieldPosition="0"/>
    </format>
    <format dxfId="6769">
      <pivotArea outline="0" collapsedLevelsAreSubtotals="1" fieldPosition="0"/>
    </format>
    <format dxfId="6770">
      <pivotArea field="2" type="button" dataOnly="0" labelOnly="1" outline="0"/>
    </format>
    <format dxfId="6771">
      <pivotArea dataOnly="0" labelOnly="1" grandRow="1" outline="0" fieldPosition="0"/>
    </format>
    <format dxfId="6772">
      <pivotArea dataOnly="0" labelOnly="1" outline="0" axis="axisValues" fieldPosition="0"/>
    </format>
    <format dxfId="6773">
      <pivotArea type="all" dataOnly="0" outline="0" fieldPosition="0"/>
    </format>
    <format dxfId="6774">
      <pivotArea outline="0" collapsedLevelsAreSubtotals="1" fieldPosition="0"/>
    </format>
    <format dxfId="6775">
      <pivotArea field="2" type="button" dataOnly="0" labelOnly="1" outline="0"/>
    </format>
    <format dxfId="6776">
      <pivotArea dataOnly="0" labelOnly="1" grandRow="1" outline="0" fieldPosition="0"/>
    </format>
    <format dxfId="6777">
      <pivotArea dataOnly="0" labelOnly="1" outline="0" axis="axisValues" fieldPosition="0"/>
    </format>
    <format dxfId="6778">
      <pivotArea type="all" dataOnly="0" outline="0" fieldPosition="0"/>
    </format>
    <format dxfId="6779">
      <pivotArea dataOnly="0" labelOnly="1" outline="0" axis="axisValues" fieldPosition="0"/>
    </format>
    <format dxfId="226">
      <pivotArea dataOnly="0" labelOnly="1" outline="0" axis="axisValues" fieldPosition="0"/>
    </format>
    <format dxfId="211">
      <pivotArea type="all" dataOnly="0" outline="0" fieldPosition="0"/>
    </format>
    <format dxfId="210">
      <pivotArea outline="0" collapsedLevelsAreSubtotals="1" fieldPosition="0"/>
    </format>
    <format dxfId="208">
      <pivotArea dataOnly="0" labelOnly="1" outline="0" axis="axisValues" fieldPosition="0"/>
    </format>
    <format dxfId="195">
      <pivotArea type="all" dataOnly="0" outline="0" fieldPosition="0"/>
    </format>
    <format dxfId="194">
      <pivotArea dataOnly="0" labelOnly="1" outline="0" axis="axisValues" fieldPosition="0"/>
    </format>
    <format dxfId="185">
      <pivotArea outline="0" collapsedLevelsAreSubtotals="1" fieldPosition="0"/>
    </format>
    <format dxfId="179">
      <pivotArea outline="0" collapsedLevelsAreSubtotals="1" fieldPosition="0"/>
    </format>
    <format dxfId="173">
      <pivotArea outline="0" collapsedLevelsAreSubtotals="1" fieldPosition="0"/>
    </format>
    <format dxfId="161">
      <pivotArea type="all" dataOnly="0" outline="0" fieldPosition="0"/>
    </format>
    <format dxfId="160">
      <pivotArea outline="0" collapsedLevelsAreSubtotals="1" fieldPosition="0"/>
    </format>
    <format dxfId="159">
      <pivotArea dataOnly="0" labelOnly="1" outline="0" axis="axisValues" fieldPosition="0"/>
    </format>
    <format dxfId="145">
      <pivotArea type="all" dataOnly="0" outline="0" fieldPosition="0"/>
    </format>
    <format dxfId="144">
      <pivotArea outline="0" collapsedLevelsAreSubtotals="1" fieldPosition="0"/>
    </format>
    <format dxfId="143">
      <pivotArea dataOnly="0" labelOnly="1" outline="0" axis="axisValues" fieldPosition="0"/>
    </format>
    <format dxfId="28">
      <pivotArea type="all" dataOnly="0" outline="0" fieldPosition="0"/>
    </format>
    <format dxfId="27">
      <pivotArea outline="0" collapsedLevelsAreSubtotals="1" fieldPosition="0"/>
    </format>
    <format dxfId="26">
      <pivotArea dataOnly="0" labelOnly="1" outline="0" axis="axisValues" fieldPosition="0"/>
    </format>
  </formats>
  <pivotHierarchies count="20">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keup_sales_dataset_clea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C82586A-0DD7-47EA-A624-08A1381AB33E}" name="PivotTable5" cacheId="1438" applyNumberFormats="0" applyBorderFormats="0" applyFontFormats="0" applyPatternFormats="0" applyAlignmentFormats="0" applyWidthHeightFormats="1" dataCaption="Values" tag="e18e6f72-56ec-44d2-82c5-7c6909248337" updatedVersion="7" minRefreshableVersion="3" useAutoFormatting="1" subtotalHiddenItems="1" itemPrintTitles="1" createdVersion="7" indent="0" outline="1" outlineData="1" multipleFieldFilters="0" chartFormat="3" rowHeaderCaption="Payment Method">
  <location ref="A21:B25"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s>
  <rowFields count="1">
    <field x="3"/>
  </rowFields>
  <rowItems count="4">
    <i>
      <x v="2"/>
    </i>
    <i>
      <x/>
    </i>
    <i>
      <x v="1"/>
    </i>
    <i t="grand">
      <x/>
    </i>
  </rowItems>
  <colItems count="1">
    <i/>
  </colItems>
  <dataFields count="1">
    <dataField name="Total Revenue" fld="0" baseField="0" baseItem="0"/>
  </dataFields>
  <formats count="38">
    <format dxfId="6808">
      <pivotArea field="3" type="button" dataOnly="0" labelOnly="1" outline="0" axis="axisRow" fieldPosition="0"/>
    </format>
    <format dxfId="6809">
      <pivotArea dataOnly="0" labelOnly="1" outline="0" axis="axisValues" fieldPosition="0"/>
    </format>
    <format dxfId="6810">
      <pivotArea type="all" dataOnly="0" outline="0" fieldPosition="0"/>
    </format>
    <format dxfId="6811">
      <pivotArea outline="0" collapsedLevelsAreSubtotals="1" fieldPosition="0"/>
    </format>
    <format dxfId="6812">
      <pivotArea field="3" type="button" dataOnly="0" labelOnly="1" outline="0" axis="axisRow" fieldPosition="0"/>
    </format>
    <format dxfId="6813">
      <pivotArea dataOnly="0" labelOnly="1" fieldPosition="0">
        <references count="1">
          <reference field="3" count="0"/>
        </references>
      </pivotArea>
    </format>
    <format dxfId="6814">
      <pivotArea dataOnly="0" labelOnly="1" grandRow="1" outline="0" fieldPosition="0"/>
    </format>
    <format dxfId="6815">
      <pivotArea dataOnly="0" labelOnly="1" outline="0" axis="axisValues" fieldPosition="0"/>
    </format>
    <format dxfId="6816">
      <pivotArea type="all" dataOnly="0" outline="0" fieldPosition="0"/>
    </format>
    <format dxfId="6817">
      <pivotArea outline="0" collapsedLevelsAreSubtotals="1" fieldPosition="0"/>
    </format>
    <format dxfId="6818">
      <pivotArea field="3" type="button" dataOnly="0" labelOnly="1" outline="0" axis="axisRow" fieldPosition="0"/>
    </format>
    <format dxfId="6819">
      <pivotArea dataOnly="0" labelOnly="1" fieldPosition="0">
        <references count="1">
          <reference field="3" count="0"/>
        </references>
      </pivotArea>
    </format>
    <format dxfId="6820">
      <pivotArea dataOnly="0" labelOnly="1" grandRow="1" outline="0" fieldPosition="0"/>
    </format>
    <format dxfId="6821">
      <pivotArea dataOnly="0" labelOnly="1" outline="0" axis="axisValues" fieldPosition="0"/>
    </format>
    <format dxfId="6822">
      <pivotArea type="all" dataOnly="0" outline="0" fieldPosition="0"/>
    </format>
    <format dxfId="6823">
      <pivotArea outline="0" collapsedLevelsAreSubtotals="1" fieldPosition="0"/>
    </format>
    <format dxfId="6824">
      <pivotArea field="3" type="button" dataOnly="0" labelOnly="1" outline="0" axis="axisRow" fieldPosition="0"/>
    </format>
    <format dxfId="6825">
      <pivotArea dataOnly="0" labelOnly="1" fieldPosition="0">
        <references count="1">
          <reference field="3" count="0"/>
        </references>
      </pivotArea>
    </format>
    <format dxfId="6826">
      <pivotArea dataOnly="0" labelOnly="1" grandRow="1" outline="0" fieldPosition="0"/>
    </format>
    <format dxfId="6827">
      <pivotArea dataOnly="0" labelOnly="1" outline="0" axis="axisValues" fieldPosition="0"/>
    </format>
    <format dxfId="6828">
      <pivotArea type="all" dataOnly="0" outline="0" fieldPosition="0"/>
    </format>
    <format dxfId="6829">
      <pivotArea outline="0" collapsedLevelsAreSubtotals="1" fieldPosition="0"/>
    </format>
    <format dxfId="6830">
      <pivotArea field="3" type="button" dataOnly="0" labelOnly="1" outline="0" axis="axisRow" fieldPosition="0"/>
    </format>
    <format dxfId="6831">
      <pivotArea dataOnly="0" labelOnly="1" fieldPosition="0">
        <references count="1">
          <reference field="3" count="0"/>
        </references>
      </pivotArea>
    </format>
    <format dxfId="6832">
      <pivotArea dataOnly="0" labelOnly="1" grandRow="1" outline="0" fieldPosition="0"/>
    </format>
    <format dxfId="6833">
      <pivotArea dataOnly="0" labelOnly="1" outline="0" axis="axisValues" fieldPosition="0"/>
    </format>
    <format dxfId="98">
      <pivotArea type="all" dataOnly="0" outline="0" fieldPosition="0"/>
    </format>
    <format dxfId="91">
      <pivotArea outline="0" collapsedLevelsAreSubtotals="1" fieldPosition="0"/>
    </format>
    <format dxfId="90">
      <pivotArea field="3" type="button" dataOnly="0" labelOnly="1" outline="0" axis="axisRow" fieldPosition="0"/>
    </format>
    <format dxfId="89">
      <pivotArea dataOnly="0" labelOnly="1" fieldPosition="0">
        <references count="1">
          <reference field="3" count="0"/>
        </references>
      </pivotArea>
    </format>
    <format dxfId="88">
      <pivotArea dataOnly="0" labelOnly="1" grandRow="1" outline="0" fieldPosition="0"/>
    </format>
    <format dxfId="87">
      <pivotArea dataOnly="0" labelOnly="1" outline="0" axis="axisValues" fieldPosition="0"/>
    </format>
    <format dxfId="24">
      <pivotArea type="all" dataOnly="0" outline="0" fieldPosition="0"/>
    </format>
    <format dxfId="23">
      <pivotArea outline="0" collapsedLevelsAreSubtotals="1" fieldPosition="0"/>
    </format>
    <format dxfId="22">
      <pivotArea field="3" type="button" dataOnly="0" labelOnly="1" outline="0" axis="axisRow" fieldPosition="0"/>
    </format>
    <format dxfId="21">
      <pivotArea dataOnly="0" labelOnly="1" fieldPosition="0">
        <references count="1">
          <reference field="3" count="0"/>
        </references>
      </pivotArea>
    </format>
    <format dxfId="20">
      <pivotArea dataOnly="0" labelOnly="1" grandRow="1" outline="0" fieldPosition="0"/>
    </format>
    <format dxfId="19">
      <pivotArea dataOnly="0" labelOnly="1" outline="0" axis="axisValues" fieldPosition="0"/>
    </format>
  </format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3" count="1" selected="0">
            <x v="2"/>
          </reference>
        </references>
      </pivotArea>
    </chartFormat>
    <chartFormat chart="2" format="7">
      <pivotArea type="data" outline="0" fieldPosition="0">
        <references count="2">
          <reference field="4294967294" count="1" selected="0">
            <x v="0"/>
          </reference>
          <reference field="3" count="1" selected="0">
            <x v="0"/>
          </reference>
        </references>
      </pivotArea>
    </chartFormat>
    <chartFormat chart="2" format="8">
      <pivotArea type="data" outline="0" fieldPosition="0">
        <references count="2">
          <reference field="4294967294" count="1" selected="0">
            <x v="0"/>
          </reference>
          <reference field="3" count="1" selected="0">
            <x v="1"/>
          </reference>
        </references>
      </pivotArea>
    </chartFormat>
  </chartFormats>
  <pivotHierarchies count="20">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keup_sales_dataset_clea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11296C2-0B4E-4A64-A2B0-566558B178FB}" name="PivotTable1" cacheId="1423" applyNumberFormats="0" applyBorderFormats="0" applyFontFormats="0" applyPatternFormats="0" applyAlignmentFormats="0" applyWidthHeightFormats="1" dataCaption="Values" tag="e3db5645-12f8-4a58-a631-8b485aabbedf" updatedVersion="7" minRefreshableVersion="3" useAutoFormatting="1" subtotalHiddenItems="1" itemPrintTitles="1" createdVersion="7" indent="0" outline="1" outlineData="1" multipleFieldFilters="0" chartFormat="6" rowHeaderCaption="Months">
  <location ref="A29:B42"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Total Revenue" fld="0" baseField="0" baseItem="0"/>
  </dataFields>
  <formats count="68">
    <format dxfId="6978">
      <pivotArea type="all" dataOnly="0" outline="0" fieldPosition="0"/>
    </format>
    <format dxfId="6979">
      <pivotArea outline="0" collapsedLevelsAreSubtotals="1" fieldPosition="0"/>
    </format>
    <format dxfId="6980">
      <pivotArea field="1" type="button" dataOnly="0" labelOnly="1" outline="0" axis="axisRow" fieldPosition="0"/>
    </format>
    <format dxfId="6981">
      <pivotArea dataOnly="0" labelOnly="1" fieldPosition="0">
        <references count="1">
          <reference field="1" count="0"/>
        </references>
      </pivotArea>
    </format>
    <format dxfId="6982">
      <pivotArea dataOnly="0" labelOnly="1" grandRow="1" outline="0" fieldPosition="0"/>
    </format>
    <format dxfId="6983">
      <pivotArea dataOnly="0" labelOnly="1" outline="0" axis="axisValues" fieldPosition="0"/>
    </format>
    <format dxfId="6984">
      <pivotArea field="1" type="button" dataOnly="0" labelOnly="1" outline="0" axis="axisRow" fieldPosition="0"/>
    </format>
    <format dxfId="6985">
      <pivotArea dataOnly="0" labelOnly="1" outline="0" axis="axisValues" fieldPosition="0"/>
    </format>
    <format dxfId="6986">
      <pivotArea field="1" type="button" dataOnly="0" labelOnly="1" outline="0" axis="axisRow" fieldPosition="0"/>
    </format>
    <format dxfId="6987">
      <pivotArea field="1" type="button" dataOnly="0" labelOnly="1" outline="0" axis="axisRow" fieldPosition="0"/>
    </format>
    <format dxfId="6988">
      <pivotArea type="all" dataOnly="0" outline="0" fieldPosition="0"/>
    </format>
    <format dxfId="6989">
      <pivotArea outline="0" collapsedLevelsAreSubtotals="1" fieldPosition="0"/>
    </format>
    <format dxfId="6990">
      <pivotArea field="1" type="button" dataOnly="0" labelOnly="1" outline="0" axis="axisRow" fieldPosition="0"/>
    </format>
    <format dxfId="6991">
      <pivotArea dataOnly="0" labelOnly="1" fieldPosition="0">
        <references count="1">
          <reference field="1" count="0"/>
        </references>
      </pivotArea>
    </format>
    <format dxfId="6992">
      <pivotArea dataOnly="0" labelOnly="1" grandRow="1" outline="0" fieldPosition="0"/>
    </format>
    <format dxfId="6993">
      <pivotArea dataOnly="0" labelOnly="1" outline="0" axis="axisValues" fieldPosition="0"/>
    </format>
    <format dxfId="6994">
      <pivotArea type="all" dataOnly="0" outline="0" fieldPosition="0"/>
    </format>
    <format dxfId="6995">
      <pivotArea outline="0" collapsedLevelsAreSubtotals="1" fieldPosition="0"/>
    </format>
    <format dxfId="6996">
      <pivotArea field="1" type="button" dataOnly="0" labelOnly="1" outline="0" axis="axisRow" fieldPosition="0"/>
    </format>
    <format dxfId="6997">
      <pivotArea dataOnly="0" labelOnly="1" fieldPosition="0">
        <references count="1">
          <reference field="1" count="0"/>
        </references>
      </pivotArea>
    </format>
    <format dxfId="6998">
      <pivotArea dataOnly="0" labelOnly="1" grandRow="1" outline="0" fieldPosition="0"/>
    </format>
    <format dxfId="6999">
      <pivotArea dataOnly="0" labelOnly="1" outline="0" axis="axisValues" fieldPosition="0"/>
    </format>
    <format dxfId="7000">
      <pivotArea type="all" dataOnly="0" outline="0" fieldPosition="0"/>
    </format>
    <format dxfId="7001">
      <pivotArea field="1" type="button" dataOnly="0" labelOnly="1" outline="0" axis="axisRow" fieldPosition="0"/>
    </format>
    <format dxfId="7002">
      <pivotArea dataOnly="0" labelOnly="1" fieldPosition="0">
        <references count="1">
          <reference field="1" count="0"/>
        </references>
      </pivotArea>
    </format>
    <format dxfId="7003">
      <pivotArea dataOnly="0" labelOnly="1" grandRow="1" outline="0" fieldPosition="0"/>
    </format>
    <format dxfId="7004">
      <pivotArea dataOnly="0" labelOnly="1" outline="0" axis="axisValues" fieldPosition="0"/>
    </format>
    <format dxfId="7005">
      <pivotArea collapsedLevelsAreSubtotals="1" fieldPosition="0">
        <references count="1">
          <reference field="1" count="0"/>
        </references>
      </pivotArea>
    </format>
    <format dxfId="7006">
      <pivotArea field="1" type="button" dataOnly="0" labelOnly="1" outline="0" axis="axisRow" fieldPosition="0"/>
    </format>
    <format dxfId="7007">
      <pivotArea dataOnly="0" labelOnly="1" fieldPosition="0">
        <references count="1">
          <reference field="1" count="0"/>
        </references>
      </pivotArea>
    </format>
    <format dxfId="7008">
      <pivotArea dataOnly="0" labelOnly="1" outline="0" axis="axisValues" fieldPosition="0"/>
    </format>
    <format dxfId="7009">
      <pivotArea grandRow="1" outline="0" collapsedLevelsAreSubtotals="1" fieldPosition="0"/>
    </format>
    <format dxfId="7010">
      <pivotArea dataOnly="0" labelOnly="1" grandRow="1" outline="0" fieldPosition="0"/>
    </format>
    <format dxfId="7011">
      <pivotArea type="all" dataOnly="0" outline="0" fieldPosition="0"/>
    </format>
    <format dxfId="7012">
      <pivotArea outline="0" collapsedLevelsAreSubtotals="1" fieldPosition="0"/>
    </format>
    <format dxfId="7013">
      <pivotArea grandRow="1" outline="0" collapsedLevelsAreSubtotals="1" fieldPosition="0"/>
    </format>
    <format dxfId="7014">
      <pivotArea dataOnly="0" labelOnly="1" grandRow="1" outline="0" fieldPosition="0"/>
    </format>
    <format dxfId="7015">
      <pivotArea field="1" type="button" dataOnly="0" labelOnly="1" outline="0" axis="axisRow" fieldPosition="0"/>
    </format>
    <format dxfId="7016">
      <pivotArea dataOnly="0" labelOnly="1" outline="0" axis="axisValues" fieldPosition="0"/>
    </format>
    <format dxfId="7017">
      <pivotArea type="all" dataOnly="0" outline="0" fieldPosition="0"/>
    </format>
    <format dxfId="7018">
      <pivotArea outline="0" collapsedLevelsAreSubtotals="1" fieldPosition="0"/>
    </format>
    <format dxfId="7019">
      <pivotArea field="1" type="button" dataOnly="0" labelOnly="1" outline="0" axis="axisRow" fieldPosition="0"/>
    </format>
    <format dxfId="7020">
      <pivotArea dataOnly="0" labelOnly="1" grandRow="1" outline="0" fieldPosition="0"/>
    </format>
    <format dxfId="7021">
      <pivotArea dataOnly="0" labelOnly="1" outline="0" axis="axisValues" fieldPosition="0"/>
    </format>
    <format dxfId="7022">
      <pivotArea collapsedLevelsAreSubtotals="1" fieldPosition="0">
        <references count="1">
          <reference field="1" count="0"/>
        </references>
      </pivotArea>
    </format>
    <format dxfId="7023">
      <pivotArea dataOnly="0" labelOnly="1" fieldPosition="0">
        <references count="1">
          <reference field="1" count="0"/>
        </references>
      </pivotArea>
    </format>
    <format dxfId="7024">
      <pivotArea collapsedLevelsAreSubtotals="1" fieldPosition="0">
        <references count="1">
          <reference field="1" count="0"/>
        </references>
      </pivotArea>
    </format>
    <format dxfId="7025">
      <pivotArea field="1" type="button" dataOnly="0" labelOnly="1" outline="0" axis="axisRow" fieldPosition="0"/>
    </format>
    <format dxfId="7026">
      <pivotArea dataOnly="0" labelOnly="1" fieldPosition="0">
        <references count="1">
          <reference field="1" count="0"/>
        </references>
      </pivotArea>
    </format>
    <format dxfId="7027">
      <pivotArea dataOnly="0" labelOnly="1" outline="0" axis="axisValues" fieldPosition="0"/>
    </format>
    <format dxfId="7028">
      <pivotArea collapsedLevelsAreSubtotals="1" fieldPosition="0">
        <references count="1">
          <reference field="1" count="0"/>
        </references>
      </pivotArea>
    </format>
    <format dxfId="7029">
      <pivotArea outline="0" collapsedLevelsAreSubtotals="1" fieldPosition="0"/>
    </format>
    <format dxfId="7030">
      <pivotArea dataOnly="0" labelOnly="1" fieldPosition="0">
        <references count="1">
          <reference field="1" count="0"/>
        </references>
      </pivotArea>
    </format>
    <format dxfId="7031">
      <pivotArea dataOnly="0" labelOnly="1" grandRow="1" outline="0" fieldPosition="0"/>
    </format>
    <format dxfId="7032">
      <pivotArea field="1" type="button" dataOnly="0" labelOnly="1" outline="0" axis="axisRow" fieldPosition="0"/>
    </format>
    <format dxfId="7033">
      <pivotArea dataOnly="0" labelOnly="1" outline="0" axis="axisValues" fieldPosition="0"/>
    </format>
    <format dxfId="85">
      <pivotArea type="all" dataOnly="0" outline="0" fieldPosition="0"/>
    </format>
    <format dxfId="74">
      <pivotArea outline="0" collapsedLevelsAreSubtotals="1" fieldPosition="0"/>
    </format>
    <format dxfId="73">
      <pivotArea field="1" type="button" dataOnly="0" labelOnly="1" outline="0" axis="axisRow" fieldPosition="0"/>
    </format>
    <format dxfId="72">
      <pivotArea dataOnly="0" labelOnly="1" fieldPosition="0">
        <references count="1">
          <reference field="1" count="0"/>
        </references>
      </pivotArea>
    </format>
    <format dxfId="71">
      <pivotArea dataOnly="0" labelOnly="1" grandRow="1" outline="0" fieldPosition="0"/>
    </format>
    <format dxfId="70">
      <pivotArea dataOnly="0" labelOnly="1" outline="0" axis="axisValues" fieldPosition="0"/>
    </format>
    <format dxfId="17">
      <pivotArea type="all" dataOnly="0" outline="0" fieldPosition="0"/>
    </format>
    <format dxfId="16">
      <pivotArea outline="0" collapsedLevelsAreSubtotals="1" fieldPosition="0"/>
    </format>
    <format dxfId="15">
      <pivotArea field="1" type="button" dataOnly="0" labelOnly="1" outline="0" axis="axisRow" fieldPosition="0"/>
    </format>
    <format dxfId="14">
      <pivotArea dataOnly="0" labelOnly="1" fieldPosition="0">
        <references count="1">
          <reference field="1" count="0"/>
        </references>
      </pivotArea>
    </format>
    <format dxfId="13">
      <pivotArea dataOnly="0" labelOnly="1" grandRow="1" outline="0" fieldPosition="0"/>
    </format>
    <format dxfId="12">
      <pivotArea dataOnly="0" labelOnly="1" outline="0" axis="axisValues" fieldPosition="0"/>
    </format>
  </formats>
  <chartFormats count="14">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 count="1" selected="0">
            <x v="6"/>
          </reference>
        </references>
      </pivotArea>
    </chartFormat>
    <chartFormat chart="5" format="4">
      <pivotArea type="data" outline="0" fieldPosition="0">
        <references count="2">
          <reference field="4294967294" count="1" selected="0">
            <x v="0"/>
          </reference>
          <reference field="1" count="1" selected="0">
            <x v="5"/>
          </reference>
        </references>
      </pivotArea>
    </chartFormat>
    <chartFormat chart="5" format="5">
      <pivotArea type="data" outline="0" fieldPosition="0">
        <references count="2">
          <reference field="4294967294" count="1" selected="0">
            <x v="0"/>
          </reference>
          <reference field="1" count="1" selected="0">
            <x v="4"/>
          </reference>
        </references>
      </pivotArea>
    </chartFormat>
    <chartFormat chart="5" format="6">
      <pivotArea type="data" outline="0" fieldPosition="0">
        <references count="2">
          <reference field="4294967294" count="1" selected="0">
            <x v="0"/>
          </reference>
          <reference field="1" count="1" selected="0">
            <x v="0"/>
          </reference>
        </references>
      </pivotArea>
    </chartFormat>
    <chartFormat chart="5" format="7">
      <pivotArea type="data" outline="0" fieldPosition="0">
        <references count="2">
          <reference field="4294967294" count="1" selected="0">
            <x v="0"/>
          </reference>
          <reference field="1" count="1" selected="0">
            <x v="1"/>
          </reference>
        </references>
      </pivotArea>
    </chartFormat>
    <chartFormat chart="5" format="8">
      <pivotArea type="data" outline="0" fieldPosition="0">
        <references count="2">
          <reference field="4294967294" count="1" selected="0">
            <x v="0"/>
          </reference>
          <reference field="1" count="1" selected="0">
            <x v="2"/>
          </reference>
        </references>
      </pivotArea>
    </chartFormat>
    <chartFormat chart="5" format="9">
      <pivotArea type="data" outline="0" fieldPosition="0">
        <references count="2">
          <reference field="4294967294" count="1" selected="0">
            <x v="0"/>
          </reference>
          <reference field="1" count="1" selected="0">
            <x v="3"/>
          </reference>
        </references>
      </pivotArea>
    </chartFormat>
    <chartFormat chart="5" format="10">
      <pivotArea type="data" outline="0" fieldPosition="0">
        <references count="2">
          <reference field="4294967294" count="1" selected="0">
            <x v="0"/>
          </reference>
          <reference field="1" count="1" selected="0">
            <x v="7"/>
          </reference>
        </references>
      </pivotArea>
    </chartFormat>
    <chartFormat chart="5" format="11">
      <pivotArea type="data" outline="0" fieldPosition="0">
        <references count="2">
          <reference field="4294967294" count="1" selected="0">
            <x v="0"/>
          </reference>
          <reference field="1" count="1" selected="0">
            <x v="9"/>
          </reference>
        </references>
      </pivotArea>
    </chartFormat>
    <chartFormat chart="5" format="12">
      <pivotArea type="data" outline="0" fieldPosition="0">
        <references count="2">
          <reference field="4294967294" count="1" selected="0">
            <x v="0"/>
          </reference>
          <reference field="1" count="1" selected="0">
            <x v="11"/>
          </reference>
        </references>
      </pivotArea>
    </chartFormat>
    <chartFormat chart="5" format="13">
      <pivotArea type="data" outline="0" fieldPosition="0">
        <references count="2">
          <reference field="4294967294" count="1" selected="0">
            <x v="0"/>
          </reference>
          <reference field="1" count="1" selected="0">
            <x v="8"/>
          </reference>
        </references>
      </pivotArea>
    </chartFormat>
    <chartFormat chart="5" format="14">
      <pivotArea type="data" outline="0" fieldPosition="0">
        <references count="2">
          <reference field="4294967294" count="1" selected="0">
            <x v="0"/>
          </reference>
          <reference field="1" count="1" selected="0">
            <x v="10"/>
          </reference>
        </references>
      </pivotArea>
    </chartFormat>
  </chartFormats>
  <pivotHierarchies count="20">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keup_sales_dataset_clea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E099856-0714-49CF-9A3E-668419F2D313}" name="PivotTable4" cacheId="1435" applyNumberFormats="0" applyBorderFormats="0" applyFontFormats="0" applyPatternFormats="0" applyAlignmentFormats="0" applyWidthHeightFormats="1" dataCaption="Values" tag="d86c50b2-9b8f-405f-915b-501aabe01973" updatedVersion="7" minRefreshableVersion="3" useAutoFormatting="1" subtotalHiddenItems="1" itemPrintTitles="1" createdVersion="7" indent="0" outline="1" outlineData="1" multipleFieldFilters="0" chartFormat="8" rowHeaderCaption="Country">
  <location ref="E9:F18"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xis="axisRow" allDrilled="1" subtotalTop="0" showAll="0" defaultSubtotal="0" defaultAttributeDrillState="1">
      <items count="8">
        <item x="0"/>
        <item x="1"/>
        <item x="2"/>
        <item x="3"/>
        <item x="4"/>
        <item x="5"/>
        <item x="6"/>
        <item x="7"/>
      </items>
    </pivotField>
  </pivotFields>
  <rowFields count="1">
    <field x="3"/>
  </rowFields>
  <rowItems count="9">
    <i>
      <x/>
    </i>
    <i>
      <x v="1"/>
    </i>
    <i>
      <x v="2"/>
    </i>
    <i>
      <x v="3"/>
    </i>
    <i>
      <x v="4"/>
    </i>
    <i>
      <x v="5"/>
    </i>
    <i>
      <x v="6"/>
    </i>
    <i>
      <x v="7"/>
    </i>
    <i t="grand">
      <x/>
    </i>
  </rowItems>
  <colItems count="1">
    <i/>
  </colItems>
  <dataFields count="1">
    <dataField name="Total Revenue" fld="0" baseField="0" baseItem="0"/>
  </dataFields>
  <formats count="38">
    <format dxfId="6834">
      <pivotArea field="3" type="button" dataOnly="0" labelOnly="1" outline="0" axis="axisRow" fieldPosition="0"/>
    </format>
    <format dxfId="6835">
      <pivotArea dataOnly="0" labelOnly="1" outline="0" axis="axisValues" fieldPosition="0"/>
    </format>
    <format dxfId="6836">
      <pivotArea type="all" dataOnly="0" outline="0" fieldPosition="0"/>
    </format>
    <format dxfId="6837">
      <pivotArea outline="0" collapsedLevelsAreSubtotals="1" fieldPosition="0"/>
    </format>
    <format dxfId="6838">
      <pivotArea field="3" type="button" dataOnly="0" labelOnly="1" outline="0" axis="axisRow" fieldPosition="0"/>
    </format>
    <format dxfId="6839">
      <pivotArea dataOnly="0" labelOnly="1" fieldPosition="0">
        <references count="1">
          <reference field="3" count="0"/>
        </references>
      </pivotArea>
    </format>
    <format dxfId="6840">
      <pivotArea dataOnly="0" labelOnly="1" grandRow="1" outline="0" fieldPosition="0"/>
    </format>
    <format dxfId="6841">
      <pivotArea dataOnly="0" labelOnly="1" outline="0" axis="axisValues" fieldPosition="0"/>
    </format>
    <format dxfId="6842">
      <pivotArea type="all" dataOnly="0" outline="0" fieldPosition="0"/>
    </format>
    <format dxfId="6843">
      <pivotArea outline="0" collapsedLevelsAreSubtotals="1" fieldPosition="0"/>
    </format>
    <format dxfId="6844">
      <pivotArea field="3" type="button" dataOnly="0" labelOnly="1" outline="0" axis="axisRow" fieldPosition="0"/>
    </format>
    <format dxfId="6845">
      <pivotArea dataOnly="0" labelOnly="1" fieldPosition="0">
        <references count="1">
          <reference field="3" count="0"/>
        </references>
      </pivotArea>
    </format>
    <format dxfId="6846">
      <pivotArea dataOnly="0" labelOnly="1" grandRow="1" outline="0" fieldPosition="0"/>
    </format>
    <format dxfId="6847">
      <pivotArea dataOnly="0" labelOnly="1" outline="0" axis="axisValues" fieldPosition="0"/>
    </format>
    <format dxfId="6848">
      <pivotArea type="all" dataOnly="0" outline="0" fieldPosition="0"/>
    </format>
    <format dxfId="6849">
      <pivotArea outline="0" collapsedLevelsAreSubtotals="1" fieldPosition="0"/>
    </format>
    <format dxfId="6850">
      <pivotArea field="3" type="button" dataOnly="0" labelOnly="1" outline="0" axis="axisRow" fieldPosition="0"/>
    </format>
    <format dxfId="6851">
      <pivotArea dataOnly="0" labelOnly="1" fieldPosition="0">
        <references count="1">
          <reference field="3" count="0"/>
        </references>
      </pivotArea>
    </format>
    <format dxfId="6852">
      <pivotArea dataOnly="0" labelOnly="1" grandRow="1" outline="0" fieldPosition="0"/>
    </format>
    <format dxfId="6853">
      <pivotArea dataOnly="0" labelOnly="1" outline="0" axis="axisValues" fieldPosition="0"/>
    </format>
    <format dxfId="6854">
      <pivotArea type="all" dataOnly="0" outline="0" fieldPosition="0"/>
    </format>
    <format dxfId="6855">
      <pivotArea outline="0" collapsedLevelsAreSubtotals="1" fieldPosition="0"/>
    </format>
    <format dxfId="6856">
      <pivotArea field="3" type="button" dataOnly="0" labelOnly="1" outline="0" axis="axisRow" fieldPosition="0"/>
    </format>
    <format dxfId="6857">
      <pivotArea dataOnly="0" labelOnly="1" fieldPosition="0">
        <references count="1">
          <reference field="3" count="0"/>
        </references>
      </pivotArea>
    </format>
    <format dxfId="6858">
      <pivotArea dataOnly="0" labelOnly="1" grandRow="1" outline="0" fieldPosition="0"/>
    </format>
    <format dxfId="6859">
      <pivotArea dataOnly="0" labelOnly="1" outline="0" axis="axisValues" fieldPosition="0"/>
    </format>
    <format dxfId="124">
      <pivotArea type="all" dataOnly="0" outline="0" fieldPosition="0"/>
    </format>
    <format dxfId="117">
      <pivotArea outline="0" collapsedLevelsAreSubtotals="1" fieldPosition="0"/>
    </format>
    <format dxfId="116">
      <pivotArea field="3" type="button" dataOnly="0" labelOnly="1" outline="0" axis="axisRow" fieldPosition="0"/>
    </format>
    <format dxfId="115">
      <pivotArea dataOnly="0" labelOnly="1" fieldPosition="0">
        <references count="1">
          <reference field="3" count="0"/>
        </references>
      </pivotArea>
    </format>
    <format dxfId="114">
      <pivotArea dataOnly="0" labelOnly="1" grandRow="1" outline="0" fieldPosition="0"/>
    </format>
    <format dxfId="113">
      <pivotArea dataOnly="0" labelOnly="1" outline="0" axis="axisValues" fieldPosition="0"/>
    </format>
    <format dxfId="10">
      <pivotArea type="all" dataOnly="0" outline="0" fieldPosition="0"/>
    </format>
    <format dxfId="9">
      <pivotArea outline="0" collapsedLevelsAreSubtotals="1" fieldPosition="0"/>
    </format>
    <format dxfId="8">
      <pivotArea field="3" type="button" dataOnly="0" labelOnly="1" outline="0" axis="axisRow" fieldPosition="0"/>
    </format>
    <format dxfId="7">
      <pivotArea dataOnly="0" labelOnly="1" fieldPosition="0">
        <references count="1">
          <reference field="3" count="0"/>
        </references>
      </pivotArea>
    </format>
    <format dxfId="6">
      <pivotArea dataOnly="0" labelOnly="1" grandRow="1" outline="0" fieldPosition="0"/>
    </format>
    <format dxfId="5">
      <pivotArea dataOnly="0" labelOnly="1" outline="0" axis="axisValues" fieldPosition="0"/>
    </format>
  </formats>
  <chartFormats count="9">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3" count="1" selected="0">
            <x v="1"/>
          </reference>
        </references>
      </pivotArea>
    </chartFormat>
    <chartFormat chart="7" format="4">
      <pivotArea type="data" outline="0" fieldPosition="0">
        <references count="2">
          <reference field="4294967294" count="1" selected="0">
            <x v="0"/>
          </reference>
          <reference field="3" count="1" selected="0">
            <x v="0"/>
          </reference>
        </references>
      </pivotArea>
    </chartFormat>
    <chartFormat chart="7" format="5">
      <pivotArea type="data" outline="0" fieldPosition="0">
        <references count="2">
          <reference field="4294967294" count="1" selected="0">
            <x v="0"/>
          </reference>
          <reference field="3" count="1" selected="0">
            <x v="2"/>
          </reference>
        </references>
      </pivotArea>
    </chartFormat>
    <chartFormat chart="7" format="6">
      <pivotArea type="data" outline="0" fieldPosition="0">
        <references count="2">
          <reference field="4294967294" count="1" selected="0">
            <x v="0"/>
          </reference>
          <reference field="3" count="1" selected="0">
            <x v="5"/>
          </reference>
        </references>
      </pivotArea>
    </chartFormat>
    <chartFormat chart="7" format="7">
      <pivotArea type="data" outline="0" fieldPosition="0">
        <references count="2">
          <reference field="4294967294" count="1" selected="0">
            <x v="0"/>
          </reference>
          <reference field="3" count="1" selected="0">
            <x v="7"/>
          </reference>
        </references>
      </pivotArea>
    </chartFormat>
    <chartFormat chart="7" format="8">
      <pivotArea type="data" outline="0" fieldPosition="0">
        <references count="2">
          <reference field="4294967294" count="1" selected="0">
            <x v="0"/>
          </reference>
          <reference field="3" count="1" selected="0">
            <x v="3"/>
          </reference>
        </references>
      </pivotArea>
    </chartFormat>
    <chartFormat chart="7" format="9">
      <pivotArea type="data" outline="0" fieldPosition="0">
        <references count="2">
          <reference field="4294967294" count="1" selected="0">
            <x v="0"/>
          </reference>
          <reference field="3" count="1" selected="0">
            <x v="6"/>
          </reference>
        </references>
      </pivotArea>
    </chartFormat>
    <chartFormat chart="7" format="10">
      <pivotArea type="data" outline="0" fieldPosition="0">
        <references count="2">
          <reference field="4294967294" count="1" selected="0">
            <x v="0"/>
          </reference>
          <reference field="3" count="1" selected="0">
            <x v="4"/>
          </reference>
        </references>
      </pivotArea>
    </chartFormat>
  </chartFormats>
  <pivotHierarchies count="20">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keup_sales_dataset_clea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B27DC16-B744-4790-BD11-5ADE4FB20945}" name="PivotTable8" cacheId="1447" applyNumberFormats="0" applyBorderFormats="0" applyFontFormats="0" applyPatternFormats="0" applyAlignmentFormats="0" applyWidthHeightFormats="1" dataCaption="Values" tag="a4bb42a3-06db-4802-a367-0232634de3da" updatedVersion="7" minRefreshableVersion="3" useAutoFormatting="1" subtotalHiddenItems="1" itemPrintTitles="1" createdVersion="7" indent="0" outline="1" outlineData="1" multipleFieldFilters="0" rowHeaderCaption="Brand">
  <location ref="C5:C6" firstHeaderRow="1" firstDataRow="1" firstDataCol="0"/>
  <pivotFields count="2">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Items count="1">
    <i/>
  </rowItems>
  <colItems count="1">
    <i/>
  </colItems>
  <dataFields count="1">
    <dataField name="Total Orders" fld="1" subtotal="count" baseField="0" baseItem="1380100696"/>
  </dataFields>
  <formats count="37">
    <format dxfId="6737">
      <pivotArea dataOnly="0" labelOnly="1" outline="0" axis="axisValues" fieldPosition="0"/>
    </format>
    <format dxfId="6738">
      <pivotArea type="all" dataOnly="0" outline="0" fieldPosition="0"/>
    </format>
    <format dxfId="6739">
      <pivotArea outline="0" collapsedLevelsAreSubtotals="1" fieldPosition="0"/>
    </format>
    <format dxfId="6740">
      <pivotArea dataOnly="0" labelOnly="1" grandRow="1" outline="0" fieldPosition="0"/>
    </format>
    <format dxfId="6741">
      <pivotArea dataOnly="0" labelOnly="1" outline="0" axis="axisValues" fieldPosition="0"/>
    </format>
    <format dxfId="6742">
      <pivotArea type="all" dataOnly="0" outline="0" fieldPosition="0"/>
    </format>
    <format dxfId="6743">
      <pivotArea outline="0" collapsedLevelsAreSubtotals="1" fieldPosition="0"/>
    </format>
    <format dxfId="6744">
      <pivotArea dataOnly="0" labelOnly="1" grandRow="1" outline="0" fieldPosition="0"/>
    </format>
    <format dxfId="6745">
      <pivotArea dataOnly="0" labelOnly="1" outline="0" axis="axisValues" fieldPosition="0"/>
    </format>
    <format dxfId="6746">
      <pivotArea type="all" dataOnly="0" outline="0" fieldPosition="0"/>
    </format>
    <format dxfId="6747">
      <pivotArea outline="0" collapsedLevelsAreSubtotals="1" fieldPosition="0"/>
    </format>
    <format dxfId="6748">
      <pivotArea dataOnly="0" labelOnly="1" grandRow="1" outline="0" fieldPosition="0"/>
    </format>
    <format dxfId="6749">
      <pivotArea dataOnly="0" labelOnly="1" outline="0" axis="axisValues" fieldPosition="0"/>
    </format>
    <format dxfId="6750">
      <pivotArea type="all" dataOnly="0" outline="0" fieldPosition="0"/>
    </format>
    <format dxfId="6751">
      <pivotArea outline="0" collapsedLevelsAreSubtotals="1" fieldPosition="0"/>
    </format>
    <format dxfId="6752">
      <pivotArea dataOnly="0" labelOnly="1" grandRow="1" outline="0" fieldPosition="0"/>
    </format>
    <format dxfId="6753">
      <pivotArea dataOnly="0" labelOnly="1" outline="0" axis="axisValues" fieldPosition="0"/>
    </format>
    <format dxfId="6754">
      <pivotArea type="all" dataOnly="0" outline="0" fieldPosition="0"/>
    </format>
    <format dxfId="6755">
      <pivotArea dataOnly="0" labelOnly="1" outline="0" axis="axisValues" fieldPosition="0"/>
    </format>
    <format dxfId="223">
      <pivotArea dataOnly="0" labelOnly="1" outline="0" axis="axisValues" fieldPosition="0"/>
    </format>
    <format dxfId="206">
      <pivotArea type="all" dataOnly="0" outline="0" fieldPosition="0"/>
    </format>
    <format dxfId="205">
      <pivotArea outline="0" collapsedLevelsAreSubtotals="1" fieldPosition="0"/>
    </format>
    <format dxfId="203">
      <pivotArea dataOnly="0" labelOnly="1" outline="0" axis="axisValues" fieldPosition="0"/>
    </format>
    <format dxfId="192">
      <pivotArea type="all" dataOnly="0" outline="0" fieldPosition="0"/>
    </format>
    <format dxfId="191">
      <pivotArea dataOnly="0" labelOnly="1" outline="0" axis="axisValues" fieldPosition="0"/>
    </format>
    <format dxfId="183">
      <pivotArea outline="0" collapsedLevelsAreSubtotals="1" fieldPosition="0"/>
    </format>
    <format dxfId="178">
      <pivotArea outline="0" collapsedLevelsAreSubtotals="1" fieldPosition="0"/>
    </format>
    <format dxfId="171">
      <pivotArea outline="0" collapsedLevelsAreSubtotals="1" fieldPosition="0"/>
    </format>
    <format dxfId="157">
      <pivotArea type="all" dataOnly="0" outline="0" fieldPosition="0"/>
    </format>
    <format dxfId="156">
      <pivotArea outline="0" collapsedLevelsAreSubtotals="1" fieldPosition="0"/>
    </format>
    <format dxfId="155">
      <pivotArea dataOnly="0" labelOnly="1" outline="0" axis="axisValues" fieldPosition="0"/>
    </format>
    <format dxfId="141">
      <pivotArea type="all" dataOnly="0" outline="0" fieldPosition="0"/>
    </format>
    <format dxfId="140">
      <pivotArea outline="0" collapsedLevelsAreSubtotals="1" fieldPosition="0"/>
    </format>
    <format dxfId="139">
      <pivotArea dataOnly="0" labelOnly="1" outline="0" axis="axisValues" fieldPosition="0"/>
    </format>
    <format dxfId="3">
      <pivotArea type="all" dataOnly="0" outline="0" fieldPosition="0"/>
    </format>
    <format dxfId="2">
      <pivotArea outline="0" collapsedLevelsAreSubtotals="1" fieldPosition="0"/>
    </format>
    <format dxfId="1">
      <pivotArea dataOnly="0" labelOnly="1" outline="0" axis="axisValues" fieldPosition="0"/>
    </format>
  </formats>
  <pivotHierarchies count="20">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caption="Total Orders"/>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keup_sales_dataset_clea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73CA9A2D-B9AF-41EF-9448-169F7708CCF6}" sourceName="[Table1].[Brand]">
  <pivotTables>
    <pivotTable tabId="6" name="PivotTable1"/>
    <pivotTable tabId="6" name="PivotTable10"/>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s>
  <data>
    <olap pivotCacheId="881884855">
      <levels count="2">
        <level uniqueName="[Table1].[Brand].[(All)]" sourceCaption="(All)" count="0"/>
        <level uniqueName="[Table1].[Brand].[Brand]" sourceCaption="Brand" count="8">
          <ranges>
            <range startItem="0">
              <i n="[Table1].[Brand].&amp;[Dior]" c="Dior"/>
              <i n="[Table1].[Brand].&amp;[Estee Lauder]" c="Estee Lauder"/>
              <i n="[Table1].[Brand].&amp;[Fenty Beauty]" c="Fenty Beauty"/>
              <i n="[Table1].[Brand].&amp;[Huda Beauty]" c="Huda Beauty"/>
              <i n="[Table1].[Brand].&amp;[L'Oreal]" c="L'Oreal"/>
              <i n="[Table1].[Brand].&amp;[MAC]" c="MAC"/>
              <i n="[Table1].[Brand].&amp;[Maybelline]" c="Maybelline"/>
              <i n="[Table1].[Brand].&amp;[NARS]" c="NARS"/>
            </range>
          </ranges>
        </level>
      </levels>
      <selections count="1">
        <selection n="[Table1].[Brand].[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124B3C3-6F3B-45E1-A956-1F792C080DC3}" sourceName="[Table1].[Country]">
  <pivotTables>
    <pivotTable tabId="6" name="PivotTable1"/>
    <pivotTable tabId="6" name="PivotTable10"/>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s>
  <data>
    <olap pivotCacheId="881884855">
      <levels count="2">
        <level uniqueName="[Table1].[Country].[(All)]" sourceCaption="(All)" count="0"/>
        <level uniqueName="[Table1].[Country].[Country]" sourceCaption="Country" count="8">
          <ranges>
            <range startItem="0">
              <i n="[Table1].[Country].&amp;[Canada]" c="Canada"/>
              <i n="[Table1].[Country].&amp;[France]" c="France"/>
              <i n="[Table1].[Country].&amp;[Germany]" c="Germany"/>
              <i n="[Table1].[Country].&amp;[India]" c="India"/>
              <i n="[Table1].[Country].&amp;[Saudi Arabia]" c="Saudi Arabia"/>
              <i n="[Table1].[Country].&amp;[UAE]" c="UAE"/>
              <i n="[Table1].[Country].&amp;[UK]" c="UK"/>
              <i n="[Table1].[Country].&amp;[USA]" c="USA"/>
            </range>
          </ranges>
        </level>
      </levels>
      <selections count="1">
        <selection n="[Table1].[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 xr10:uid="{78F96160-A0A4-4D0F-9455-3163F95CDA0D}" sourceName="[Table1].[Product_Type]">
  <pivotTables>
    <pivotTable tabId="6" name="PivotTable2"/>
    <pivotTable tabId="6" name="PivotTable1"/>
    <pivotTable tabId="6" name="PivotTable10"/>
    <pivotTable tabId="6" name="PivotTable3"/>
    <pivotTable tabId="6" name="PivotTable4"/>
    <pivotTable tabId="6" name="PivotTable5"/>
    <pivotTable tabId="6" name="PivotTable6"/>
    <pivotTable tabId="6" name="PivotTable7"/>
    <pivotTable tabId="6" name="PivotTable8"/>
    <pivotTable tabId="6" name="PivotTable9"/>
  </pivotTables>
  <data>
    <olap pivotCacheId="881884855">
      <levels count="2">
        <level uniqueName="[Table1].[Product_Type].[(All)]" sourceCaption="(All)" count="0"/>
        <level uniqueName="[Table1].[Product_Type].[Product_Type]" sourceCaption="Product_Type" count="8">
          <ranges>
            <range startItem="0">
              <i n="[Table1].[Product_Type].&amp;[Blush]" c="Blush"/>
              <i n="[Table1].[Product_Type].&amp;[Concealer]" c="Concealer"/>
              <i n="[Table1].[Product_Type].&amp;[Eyeliner]" c="Eyeliner"/>
              <i n="[Table1].[Product_Type].&amp;[Eyeshadow]" c="Eyeshadow"/>
              <i n="[Table1].[Product_Type].&amp;[Foundation]" c="Foundation"/>
              <i n="[Table1].[Product_Type].&amp;[Highlighter]" c="Highlighter"/>
              <i n="[Table1].[Product_Type].&amp;[Lipstick]" c="Lipstick"/>
              <i n="[Table1].[Product_Type].&amp;[Mascara]" c="Mascara"/>
            </range>
          </ranges>
        </level>
      </levels>
      <selections count="1">
        <selection n="[Table1].[Product_Typ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6B15798-87F5-4D52-8818-C80A8EC783D0}" sourceName="[Table1].[Month]">
  <pivotTables>
    <pivotTable tabId="6" name="PivotTable1"/>
    <pivotTable tabId="6" name="PivotTable10"/>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s>
  <data>
    <olap pivotCacheId="881884855">
      <levels count="2">
        <level uniqueName="[Table1].[Month].[(All)]" sourceCaption="(All)" count="0"/>
        <level uniqueName="[Table1].[Month].[Month]" sourceCaption="Month" count="12">
          <ranges>
            <range startItem="0">
              <i n="[Table1].[Month].&amp;[April]" c="April"/>
              <i n="[Table1].[Month].&amp;[August]" c="August"/>
              <i n="[Table1].[Month].&amp;[December]" c="December"/>
              <i n="[Table1].[Month].&amp;[February]" c="February"/>
              <i n="[Table1].[Month].&amp;[January]" c="January"/>
              <i n="[Table1].[Month].&amp;[July]" c="July"/>
              <i n="[Table1].[Month].&amp;[June]" c="June"/>
              <i n="[Table1].[Month].&amp;[March]" c="March"/>
              <i n="[Table1].[Month].&amp;[May]" c="May"/>
              <i n="[Table1].[Month].&amp;[November]" c="November"/>
              <i n="[Table1].[Month].&amp;[October]" c="October"/>
              <i n="[Table1].[Month].&amp;[September]" c="September"/>
            </range>
          </ranges>
        </level>
      </levels>
      <selections count="1">
        <selection n="[Table1].[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3271AD59-5953-415C-94CF-A5DB07F6D246}" cache="Slicer_Brand" caption="Brand" columnCount="2" level="1" style="Slicer Style 1" rowHeight="432000"/>
  <slicer name="Country" xr10:uid="{28A60D6C-0A84-41A3-98CD-87398C3E43D2}" cache="Slicer_Country" caption="Country" columnCount="2" level="1" style="Slicer Style 1" rowHeight="324000"/>
  <slicer name="Product_Type" xr10:uid="{327C86B5-8E7B-4A28-A23C-3453562AA56A}" cache="Slicer_Product_Type" caption="Product_Type" columnCount="2" level="1" style="Slicer Style 1" rowHeight="432000"/>
  <slicer name="Month" xr10:uid="{3FA98E32-655D-4AE9-9FD9-7A64D325AE2A}" cache="Slicer_Month" caption="Month" columnCount="2" level="1" style="Slicer Style 1"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K501" headerRowDxfId="7061" dataDxfId="7059" headerRowBorderDxfId="7060" totalsRowBorderDxfId="7058">
  <autoFilter ref="A1:K501" xr:uid="{00000000-0009-0000-0100-000001000000}"/>
  <sortState xmlns:xlrd2="http://schemas.microsoft.com/office/spreadsheetml/2017/richdata2" ref="A2:J501">
    <sortCondition descending="1" ref="F1:F501"/>
  </sortState>
  <tableColumns count="11">
    <tableColumn id="1" xr3:uid="{00000000-0010-0000-0000-000001000000}" name="Sale_ID" dataDxfId="7057" totalsRowDxfId="7056"/>
    <tableColumn id="2" xr3:uid="{00000000-0010-0000-0000-000002000000}" name="Date" dataDxfId="7055" totalsRowDxfId="7054"/>
    <tableColumn id="3" xr3:uid="{00000000-0010-0000-0000-000003000000}" name="Brand" dataDxfId="7053" totalsRowDxfId="7052"/>
    <tableColumn id="4" xr3:uid="{00000000-0010-0000-0000-000004000000}" name="Product_Type" dataDxfId="7051" totalsRowDxfId="7050"/>
    <tableColumn id="5" xr3:uid="{00000000-0010-0000-0000-000005000000}" name="Country" dataDxfId="7049" totalsRowDxfId="7048"/>
    <tableColumn id="6" xr3:uid="{00000000-0010-0000-0000-000006000000}" name="Sales_Channel" dataDxfId="7047" totalsRowDxfId="7046"/>
    <tableColumn id="7" xr3:uid="{00000000-0010-0000-0000-000007000000}" name="Payment_Method" dataDxfId="7045" totalsRowDxfId="7044"/>
    <tableColumn id="8" xr3:uid="{00000000-0010-0000-0000-000008000000}" name="Price_USD" dataDxfId="7043" totalsRowDxfId="7042"/>
    <tableColumn id="9" xr3:uid="{00000000-0010-0000-0000-000009000000}" name="Units_Sold" dataDxfId="7041" totalsRowDxfId="7040"/>
    <tableColumn id="10" xr3:uid="{00000000-0010-0000-0000-00000A000000}" name="Revenue_USD" dataDxfId="7039" totalsRowDxfId="7038"/>
    <tableColumn id="11" xr3:uid="{00000000-0010-0000-0000-00000B000000}" name="Month" dataDxfId="7037" totalsRowDxfId="7036">
      <calculatedColumnFormula>TEXT(Table1[[#This Row],[Date]],"MMMM")</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01"/>
  <sheetViews>
    <sheetView tabSelected="1" zoomScale="105" zoomScaleNormal="96" workbookViewId="0">
      <selection activeCell="D22" sqref="D22"/>
    </sheetView>
  </sheetViews>
  <sheetFormatPr defaultColWidth="13" defaultRowHeight="15" x14ac:dyDescent="0.25"/>
  <cols>
    <col min="1" max="1" width="12.7109375" bestFit="1" customWidth="1"/>
    <col min="2" max="2" width="13" style="1" customWidth="1"/>
    <col min="3" max="3" width="12.5703125" bestFit="1" customWidth="1"/>
    <col min="4" max="4" width="19.42578125" bestFit="1" customWidth="1"/>
    <col min="5" max="5" width="13.42578125" bestFit="1" customWidth="1"/>
    <col min="6" max="6" width="19.5703125" customWidth="1"/>
    <col min="7" max="7" width="23.5703125" bestFit="1" customWidth="1"/>
    <col min="8" max="8" width="15.5703125" bestFit="1" customWidth="1"/>
    <col min="9" max="9" width="16" style="3" bestFit="1" customWidth="1"/>
    <col min="10" max="10" width="19.28515625" style="2" bestFit="1" customWidth="1"/>
    <col min="11" max="11" width="12.28515625" style="4" bestFit="1" customWidth="1"/>
  </cols>
  <sheetData>
    <row r="1" spans="1:11" ht="15.75" x14ac:dyDescent="0.25">
      <c r="A1" s="16" t="s">
        <v>0</v>
      </c>
      <c r="B1" s="17" t="s">
        <v>1</v>
      </c>
      <c r="C1" s="18" t="s">
        <v>2</v>
      </c>
      <c r="D1" s="18" t="s">
        <v>3</v>
      </c>
      <c r="E1" s="18" t="s">
        <v>4</v>
      </c>
      <c r="F1" s="18" t="s">
        <v>5</v>
      </c>
      <c r="G1" s="18" t="s">
        <v>6</v>
      </c>
      <c r="H1" s="18" t="s">
        <v>7</v>
      </c>
      <c r="I1" s="19" t="s">
        <v>8</v>
      </c>
      <c r="J1" s="20" t="s">
        <v>9</v>
      </c>
      <c r="K1" s="21" t="s">
        <v>41</v>
      </c>
    </row>
    <row r="2" spans="1:11" x14ac:dyDescent="0.25">
      <c r="A2" s="22">
        <v>100</v>
      </c>
      <c r="B2" s="23">
        <v>45659</v>
      </c>
      <c r="C2" s="12" t="s">
        <v>27</v>
      </c>
      <c r="D2" s="12" t="s">
        <v>36</v>
      </c>
      <c r="E2" s="12" t="s">
        <v>17</v>
      </c>
      <c r="F2" s="12" t="s">
        <v>13</v>
      </c>
      <c r="G2" s="12" t="s">
        <v>22</v>
      </c>
      <c r="H2" s="24">
        <v>51.98</v>
      </c>
      <c r="I2" s="25">
        <v>45</v>
      </c>
      <c r="J2" s="26">
        <v>2339.1</v>
      </c>
      <c r="K2" s="27" t="str">
        <f>TEXT(Table1[[#This Row],[Date]],"MMMM")</f>
        <v>January</v>
      </c>
    </row>
    <row r="3" spans="1:11" x14ac:dyDescent="0.25">
      <c r="A3" s="22">
        <v>227</v>
      </c>
      <c r="B3" s="23">
        <v>45686</v>
      </c>
      <c r="C3" s="12" t="s">
        <v>23</v>
      </c>
      <c r="D3" s="12" t="s">
        <v>36</v>
      </c>
      <c r="E3" s="12" t="s">
        <v>32</v>
      </c>
      <c r="F3" s="12" t="s">
        <v>13</v>
      </c>
      <c r="G3" s="12" t="s">
        <v>22</v>
      </c>
      <c r="H3" s="24">
        <v>100.61</v>
      </c>
      <c r="I3" s="25">
        <v>34</v>
      </c>
      <c r="J3" s="26">
        <v>3420.74</v>
      </c>
      <c r="K3" s="27" t="str">
        <f>TEXT(Table1[[#This Row],[Date]],"MMMM")</f>
        <v>January</v>
      </c>
    </row>
    <row r="4" spans="1:11" x14ac:dyDescent="0.25">
      <c r="A4" s="22">
        <v>341</v>
      </c>
      <c r="B4" s="23">
        <v>45716</v>
      </c>
      <c r="C4" s="12" t="s">
        <v>23</v>
      </c>
      <c r="D4" s="12" t="s">
        <v>36</v>
      </c>
      <c r="E4" s="12" t="s">
        <v>29</v>
      </c>
      <c r="F4" s="12" t="s">
        <v>13</v>
      </c>
      <c r="G4" s="12" t="s">
        <v>22</v>
      </c>
      <c r="H4" s="24">
        <v>45.01</v>
      </c>
      <c r="I4" s="25">
        <v>30</v>
      </c>
      <c r="J4" s="26">
        <v>1350.3</v>
      </c>
      <c r="K4" s="27" t="str">
        <f>TEXT(Table1[[#This Row],[Date]],"MMMM")</f>
        <v>February</v>
      </c>
    </row>
    <row r="5" spans="1:11" x14ac:dyDescent="0.25">
      <c r="A5" s="22">
        <v>65</v>
      </c>
      <c r="B5" s="23">
        <v>45901</v>
      </c>
      <c r="C5" s="12" t="s">
        <v>30</v>
      </c>
      <c r="D5" s="12" t="s">
        <v>36</v>
      </c>
      <c r="E5" s="12" t="s">
        <v>39</v>
      </c>
      <c r="F5" s="12" t="s">
        <v>13</v>
      </c>
      <c r="G5" s="12" t="s">
        <v>22</v>
      </c>
      <c r="H5" s="24">
        <v>56.76</v>
      </c>
      <c r="I5" s="25">
        <v>49</v>
      </c>
      <c r="J5" s="26">
        <v>2781.24</v>
      </c>
      <c r="K5" s="27" t="str">
        <f>TEXT(Table1[[#This Row],[Date]],"MMMM")</f>
        <v>September</v>
      </c>
    </row>
    <row r="6" spans="1:11" x14ac:dyDescent="0.25">
      <c r="A6" s="22">
        <v>117</v>
      </c>
      <c r="B6" s="23">
        <v>45917</v>
      </c>
      <c r="C6" s="12" t="s">
        <v>10</v>
      </c>
      <c r="D6" s="12" t="s">
        <v>36</v>
      </c>
      <c r="E6" s="12" t="s">
        <v>39</v>
      </c>
      <c r="F6" s="12" t="s">
        <v>13</v>
      </c>
      <c r="G6" s="12" t="s">
        <v>22</v>
      </c>
      <c r="H6" s="24">
        <v>35.72</v>
      </c>
      <c r="I6" s="25">
        <v>1</v>
      </c>
      <c r="J6" s="26">
        <v>35.72</v>
      </c>
      <c r="K6" s="27" t="str">
        <f>TEXT(Table1[[#This Row],[Date]],"MMMM")</f>
        <v>September</v>
      </c>
    </row>
    <row r="7" spans="1:11" x14ac:dyDescent="0.25">
      <c r="A7" s="22">
        <v>208</v>
      </c>
      <c r="B7" s="23">
        <v>45921</v>
      </c>
      <c r="C7" s="12" t="s">
        <v>27</v>
      </c>
      <c r="D7" s="12" t="s">
        <v>36</v>
      </c>
      <c r="E7" s="12" t="s">
        <v>17</v>
      </c>
      <c r="F7" s="12" t="s">
        <v>13</v>
      </c>
      <c r="G7" s="12" t="s">
        <v>22</v>
      </c>
      <c r="H7" s="24">
        <v>50.8</v>
      </c>
      <c r="I7" s="25">
        <v>35</v>
      </c>
      <c r="J7" s="26">
        <v>1778</v>
      </c>
      <c r="K7" s="27" t="str">
        <f>TEXT(Table1[[#This Row],[Date]],"MMMM")</f>
        <v>September</v>
      </c>
    </row>
    <row r="8" spans="1:11" x14ac:dyDescent="0.25">
      <c r="A8" s="22">
        <v>309</v>
      </c>
      <c r="B8" s="23">
        <v>45948</v>
      </c>
      <c r="C8" s="12" t="s">
        <v>15</v>
      </c>
      <c r="D8" s="12" t="s">
        <v>36</v>
      </c>
      <c r="E8" s="12" t="s">
        <v>17</v>
      </c>
      <c r="F8" s="12" t="s">
        <v>13</v>
      </c>
      <c r="G8" s="12" t="s">
        <v>22</v>
      </c>
      <c r="H8" s="24">
        <v>59.68</v>
      </c>
      <c r="I8" s="25">
        <v>3</v>
      </c>
      <c r="J8" s="26">
        <v>179.04</v>
      </c>
      <c r="K8" s="27" t="str">
        <f>TEXT(Table1[[#This Row],[Date]],"MMMM")</f>
        <v>October</v>
      </c>
    </row>
    <row r="9" spans="1:11" x14ac:dyDescent="0.25">
      <c r="A9" s="22">
        <v>40</v>
      </c>
      <c r="B9" s="23">
        <v>46018</v>
      </c>
      <c r="C9" s="12" t="s">
        <v>20</v>
      </c>
      <c r="D9" s="12" t="s">
        <v>36</v>
      </c>
      <c r="E9" s="12" t="s">
        <v>29</v>
      </c>
      <c r="F9" s="12" t="s">
        <v>13</v>
      </c>
      <c r="G9" s="12" t="s">
        <v>22</v>
      </c>
      <c r="H9" s="24">
        <v>39.79</v>
      </c>
      <c r="I9" s="25">
        <v>42</v>
      </c>
      <c r="J9" s="26">
        <v>1671.18</v>
      </c>
      <c r="K9" s="27" t="str">
        <f>TEXT(Table1[[#This Row],[Date]],"MMMM")</f>
        <v>December</v>
      </c>
    </row>
    <row r="10" spans="1:11" x14ac:dyDescent="0.25">
      <c r="A10" s="22">
        <v>380</v>
      </c>
      <c r="B10" s="23">
        <v>45728</v>
      </c>
      <c r="C10" s="12" t="s">
        <v>27</v>
      </c>
      <c r="D10" s="12" t="s">
        <v>31</v>
      </c>
      <c r="E10" s="12" t="s">
        <v>34</v>
      </c>
      <c r="F10" s="12" t="s">
        <v>13</v>
      </c>
      <c r="G10" s="12" t="s">
        <v>22</v>
      </c>
      <c r="H10" s="24">
        <v>85.67</v>
      </c>
      <c r="I10" s="25">
        <v>11</v>
      </c>
      <c r="J10" s="26">
        <v>942.37</v>
      </c>
      <c r="K10" s="27" t="str">
        <f>TEXT(Table1[[#This Row],[Date]],"MMMM")</f>
        <v>March</v>
      </c>
    </row>
    <row r="11" spans="1:11" x14ac:dyDescent="0.25">
      <c r="A11" s="22">
        <v>466</v>
      </c>
      <c r="B11" s="23">
        <v>45790</v>
      </c>
      <c r="C11" s="12" t="s">
        <v>23</v>
      </c>
      <c r="D11" s="12" t="s">
        <v>31</v>
      </c>
      <c r="E11" s="12" t="s">
        <v>29</v>
      </c>
      <c r="F11" s="12" t="s">
        <v>13</v>
      </c>
      <c r="G11" s="12" t="s">
        <v>22</v>
      </c>
      <c r="H11" s="24">
        <v>88.4</v>
      </c>
      <c r="I11" s="25">
        <v>36</v>
      </c>
      <c r="J11" s="26">
        <v>3182.4</v>
      </c>
      <c r="K11" s="27" t="str">
        <f>TEXT(Table1[[#This Row],[Date]],"MMMM")</f>
        <v>May</v>
      </c>
    </row>
    <row r="12" spans="1:11" x14ac:dyDescent="0.25">
      <c r="A12" s="22">
        <v>234</v>
      </c>
      <c r="B12" s="23">
        <v>45832</v>
      </c>
      <c r="C12" s="12" t="s">
        <v>28</v>
      </c>
      <c r="D12" s="12" t="s">
        <v>31</v>
      </c>
      <c r="E12" s="12" t="s">
        <v>21</v>
      </c>
      <c r="F12" s="12" t="s">
        <v>13</v>
      </c>
      <c r="G12" s="12" t="s">
        <v>22</v>
      </c>
      <c r="H12" s="24">
        <v>74.77</v>
      </c>
      <c r="I12" s="25">
        <v>21</v>
      </c>
      <c r="J12" s="26">
        <v>1570.17</v>
      </c>
      <c r="K12" s="27" t="str">
        <f>TEXT(Table1[[#This Row],[Date]],"MMMM")</f>
        <v>June</v>
      </c>
    </row>
    <row r="13" spans="1:11" x14ac:dyDescent="0.25">
      <c r="A13" s="22">
        <v>323</v>
      </c>
      <c r="B13" s="23">
        <v>45975</v>
      </c>
      <c r="C13" s="12" t="s">
        <v>27</v>
      </c>
      <c r="D13" s="12" t="s">
        <v>31</v>
      </c>
      <c r="E13" s="12" t="s">
        <v>21</v>
      </c>
      <c r="F13" s="12" t="s">
        <v>13</v>
      </c>
      <c r="G13" s="12" t="s">
        <v>22</v>
      </c>
      <c r="H13" s="24">
        <v>48.69</v>
      </c>
      <c r="I13" s="25">
        <v>22</v>
      </c>
      <c r="J13" s="26">
        <v>1071.18</v>
      </c>
      <c r="K13" s="27" t="str">
        <f>TEXT(Table1[[#This Row],[Date]],"MMMM")</f>
        <v>November</v>
      </c>
    </row>
    <row r="14" spans="1:11" x14ac:dyDescent="0.25">
      <c r="A14" s="22">
        <v>250</v>
      </c>
      <c r="B14" s="23">
        <v>46016</v>
      </c>
      <c r="C14" s="12" t="s">
        <v>27</v>
      </c>
      <c r="D14" s="12" t="s">
        <v>31</v>
      </c>
      <c r="E14" s="12" t="s">
        <v>21</v>
      </c>
      <c r="F14" s="12" t="s">
        <v>13</v>
      </c>
      <c r="G14" s="12" t="s">
        <v>22</v>
      </c>
      <c r="H14" s="24">
        <v>17.64</v>
      </c>
      <c r="I14" s="25">
        <v>2</v>
      </c>
      <c r="J14" s="26">
        <v>35.28</v>
      </c>
      <c r="K14" s="27" t="str">
        <f>TEXT(Table1[[#This Row],[Date]],"MMMM")</f>
        <v>December</v>
      </c>
    </row>
    <row r="15" spans="1:11" x14ac:dyDescent="0.25">
      <c r="A15" s="22">
        <v>484</v>
      </c>
      <c r="B15" s="23">
        <v>45716</v>
      </c>
      <c r="C15" s="12" t="s">
        <v>30</v>
      </c>
      <c r="D15" s="12" t="s">
        <v>11</v>
      </c>
      <c r="E15" s="12" t="s">
        <v>34</v>
      </c>
      <c r="F15" s="12" t="s">
        <v>13</v>
      </c>
      <c r="G15" s="12" t="s">
        <v>22</v>
      </c>
      <c r="H15" s="24">
        <v>95.25</v>
      </c>
      <c r="I15" s="25">
        <v>32</v>
      </c>
      <c r="J15" s="26">
        <v>3048</v>
      </c>
      <c r="K15" s="27" t="str">
        <f>TEXT(Table1[[#This Row],[Date]],"MMMM")</f>
        <v>February</v>
      </c>
    </row>
    <row r="16" spans="1:11" x14ac:dyDescent="0.25">
      <c r="A16" s="22">
        <v>3</v>
      </c>
      <c r="B16" s="23">
        <v>45769</v>
      </c>
      <c r="C16" s="12" t="s">
        <v>20</v>
      </c>
      <c r="D16" s="12" t="s">
        <v>11</v>
      </c>
      <c r="E16" s="12" t="s">
        <v>21</v>
      </c>
      <c r="F16" s="12" t="s">
        <v>13</v>
      </c>
      <c r="G16" s="12" t="s">
        <v>22</v>
      </c>
      <c r="H16" s="24">
        <v>31.76</v>
      </c>
      <c r="I16" s="25">
        <v>39</v>
      </c>
      <c r="J16" s="26">
        <v>1238.6400000000001</v>
      </c>
      <c r="K16" s="27" t="str">
        <f>TEXT(Table1[[#This Row],[Date]],"MMMM")</f>
        <v>April</v>
      </c>
    </row>
    <row r="17" spans="1:11" x14ac:dyDescent="0.25">
      <c r="A17" s="22">
        <v>261</v>
      </c>
      <c r="B17" s="23">
        <v>45822</v>
      </c>
      <c r="C17" s="12" t="s">
        <v>15</v>
      </c>
      <c r="D17" s="12" t="s">
        <v>11</v>
      </c>
      <c r="E17" s="12" t="s">
        <v>17</v>
      </c>
      <c r="F17" s="12" t="s">
        <v>13</v>
      </c>
      <c r="G17" s="12" t="s">
        <v>22</v>
      </c>
      <c r="H17" s="24">
        <v>37.82</v>
      </c>
      <c r="I17" s="25">
        <v>4</v>
      </c>
      <c r="J17" s="26">
        <v>151.28</v>
      </c>
      <c r="K17" s="27" t="str">
        <f>TEXT(Table1[[#This Row],[Date]],"MMMM")</f>
        <v>June</v>
      </c>
    </row>
    <row r="18" spans="1:11" x14ac:dyDescent="0.25">
      <c r="A18" s="22">
        <v>176</v>
      </c>
      <c r="B18" s="23">
        <v>45837</v>
      </c>
      <c r="C18" s="12" t="s">
        <v>23</v>
      </c>
      <c r="D18" s="12" t="s">
        <v>11</v>
      </c>
      <c r="E18" s="12" t="s">
        <v>29</v>
      </c>
      <c r="F18" s="12" t="s">
        <v>13</v>
      </c>
      <c r="G18" s="12" t="s">
        <v>22</v>
      </c>
      <c r="H18" s="24">
        <v>88.65</v>
      </c>
      <c r="I18" s="25">
        <v>42</v>
      </c>
      <c r="J18" s="26">
        <v>3723.3</v>
      </c>
      <c r="K18" s="27" t="str">
        <f>TEXT(Table1[[#This Row],[Date]],"MMMM")</f>
        <v>June</v>
      </c>
    </row>
    <row r="19" spans="1:11" x14ac:dyDescent="0.25">
      <c r="A19" s="22">
        <v>47</v>
      </c>
      <c r="B19" s="23">
        <v>45944</v>
      </c>
      <c r="C19" s="12" t="s">
        <v>23</v>
      </c>
      <c r="D19" s="12" t="s">
        <v>11</v>
      </c>
      <c r="E19" s="12" t="s">
        <v>32</v>
      </c>
      <c r="F19" s="12" t="s">
        <v>13</v>
      </c>
      <c r="G19" s="12" t="s">
        <v>22</v>
      </c>
      <c r="H19" s="24">
        <v>106.68</v>
      </c>
      <c r="I19" s="25">
        <v>27</v>
      </c>
      <c r="J19" s="26">
        <v>2880.36</v>
      </c>
      <c r="K19" s="27" t="str">
        <f>TEXT(Table1[[#This Row],[Date]],"MMMM")</f>
        <v>October</v>
      </c>
    </row>
    <row r="20" spans="1:11" x14ac:dyDescent="0.25">
      <c r="A20" s="22">
        <v>36</v>
      </c>
      <c r="B20" s="23">
        <v>45956</v>
      </c>
      <c r="C20" s="12" t="s">
        <v>10</v>
      </c>
      <c r="D20" s="12" t="s">
        <v>11</v>
      </c>
      <c r="E20" s="12" t="s">
        <v>24</v>
      </c>
      <c r="F20" s="12" t="s">
        <v>13</v>
      </c>
      <c r="G20" s="12" t="s">
        <v>22</v>
      </c>
      <c r="H20" s="24">
        <v>70</v>
      </c>
      <c r="I20" s="25">
        <v>21</v>
      </c>
      <c r="J20" s="26">
        <v>1470</v>
      </c>
      <c r="K20" s="27" t="str">
        <f>TEXT(Table1[[#This Row],[Date]],"MMMM")</f>
        <v>October</v>
      </c>
    </row>
    <row r="21" spans="1:11" x14ac:dyDescent="0.25">
      <c r="A21" s="22">
        <v>101</v>
      </c>
      <c r="B21" s="23">
        <v>46019</v>
      </c>
      <c r="C21" s="12" t="s">
        <v>15</v>
      </c>
      <c r="D21" s="12" t="s">
        <v>11</v>
      </c>
      <c r="E21" s="12" t="s">
        <v>34</v>
      </c>
      <c r="F21" s="12" t="s">
        <v>13</v>
      </c>
      <c r="G21" s="12" t="s">
        <v>22</v>
      </c>
      <c r="H21" s="24">
        <v>37.51</v>
      </c>
      <c r="I21" s="25">
        <v>30</v>
      </c>
      <c r="J21" s="26">
        <v>1125.3</v>
      </c>
      <c r="K21" s="27" t="str">
        <f>TEXT(Table1[[#This Row],[Date]],"MMMM")</f>
        <v>December</v>
      </c>
    </row>
    <row r="22" spans="1:11" x14ac:dyDescent="0.25">
      <c r="A22" s="22">
        <v>245</v>
      </c>
      <c r="B22" s="23">
        <v>45677</v>
      </c>
      <c r="C22" s="12" t="s">
        <v>27</v>
      </c>
      <c r="D22" s="12" t="s">
        <v>38</v>
      </c>
      <c r="E22" s="12" t="s">
        <v>32</v>
      </c>
      <c r="F22" s="12" t="s">
        <v>13</v>
      </c>
      <c r="G22" s="12" t="s">
        <v>22</v>
      </c>
      <c r="H22" s="24">
        <v>20.76</v>
      </c>
      <c r="I22" s="25">
        <v>22</v>
      </c>
      <c r="J22" s="26">
        <v>456.72</v>
      </c>
      <c r="K22" s="27" t="str">
        <f>TEXT(Table1[[#This Row],[Date]],"MMMM")</f>
        <v>January</v>
      </c>
    </row>
    <row r="23" spans="1:11" x14ac:dyDescent="0.25">
      <c r="A23" s="22">
        <v>111</v>
      </c>
      <c r="B23" s="23">
        <v>45754</v>
      </c>
      <c r="C23" s="12" t="s">
        <v>27</v>
      </c>
      <c r="D23" s="12" t="s">
        <v>38</v>
      </c>
      <c r="E23" s="12" t="s">
        <v>17</v>
      </c>
      <c r="F23" s="12" t="s">
        <v>13</v>
      </c>
      <c r="G23" s="12" t="s">
        <v>22</v>
      </c>
      <c r="H23" s="24">
        <v>64.62</v>
      </c>
      <c r="I23" s="25">
        <v>40</v>
      </c>
      <c r="J23" s="26">
        <v>2584.8000000000002</v>
      </c>
      <c r="K23" s="27" t="str">
        <f>TEXT(Table1[[#This Row],[Date]],"MMMM")</f>
        <v>April</v>
      </c>
    </row>
    <row r="24" spans="1:11" x14ac:dyDescent="0.25">
      <c r="A24" s="22">
        <v>115</v>
      </c>
      <c r="B24" s="23">
        <v>45807</v>
      </c>
      <c r="C24" s="12" t="s">
        <v>35</v>
      </c>
      <c r="D24" s="12" t="s">
        <v>38</v>
      </c>
      <c r="E24" s="12" t="s">
        <v>39</v>
      </c>
      <c r="F24" s="12" t="s">
        <v>13</v>
      </c>
      <c r="G24" s="12" t="s">
        <v>22</v>
      </c>
      <c r="H24" s="24">
        <v>63.52</v>
      </c>
      <c r="I24" s="25">
        <v>18</v>
      </c>
      <c r="J24" s="26">
        <v>1143.3599999999999</v>
      </c>
      <c r="K24" s="27" t="str">
        <f>TEXT(Table1[[#This Row],[Date]],"MMMM")</f>
        <v>May</v>
      </c>
    </row>
    <row r="25" spans="1:11" x14ac:dyDescent="0.25">
      <c r="A25" s="22">
        <v>324</v>
      </c>
      <c r="B25" s="23">
        <v>45822</v>
      </c>
      <c r="C25" s="12" t="s">
        <v>30</v>
      </c>
      <c r="D25" s="12" t="s">
        <v>38</v>
      </c>
      <c r="E25" s="12" t="s">
        <v>24</v>
      </c>
      <c r="F25" s="12" t="s">
        <v>13</v>
      </c>
      <c r="G25" s="12" t="s">
        <v>22</v>
      </c>
      <c r="H25" s="24">
        <v>74.37</v>
      </c>
      <c r="I25" s="25">
        <v>45</v>
      </c>
      <c r="J25" s="26">
        <v>3346.65</v>
      </c>
      <c r="K25" s="27" t="str">
        <f>TEXT(Table1[[#This Row],[Date]],"MMMM")</f>
        <v>June</v>
      </c>
    </row>
    <row r="26" spans="1:11" x14ac:dyDescent="0.25">
      <c r="A26" s="22">
        <v>253</v>
      </c>
      <c r="B26" s="23">
        <v>45833</v>
      </c>
      <c r="C26" s="12" t="s">
        <v>10</v>
      </c>
      <c r="D26" s="12" t="s">
        <v>38</v>
      </c>
      <c r="E26" s="12" t="s">
        <v>12</v>
      </c>
      <c r="F26" s="12" t="s">
        <v>13</v>
      </c>
      <c r="G26" s="12" t="s">
        <v>22</v>
      </c>
      <c r="H26" s="24">
        <v>67.819999999999993</v>
      </c>
      <c r="I26" s="25">
        <v>44</v>
      </c>
      <c r="J26" s="26">
        <v>2984.08</v>
      </c>
      <c r="K26" s="27" t="str">
        <f>TEXT(Table1[[#This Row],[Date]],"MMMM")</f>
        <v>June</v>
      </c>
    </row>
    <row r="27" spans="1:11" x14ac:dyDescent="0.25">
      <c r="A27" s="22">
        <v>365</v>
      </c>
      <c r="B27" s="23">
        <v>45833</v>
      </c>
      <c r="C27" s="12" t="s">
        <v>23</v>
      </c>
      <c r="D27" s="12" t="s">
        <v>38</v>
      </c>
      <c r="E27" s="12" t="s">
        <v>29</v>
      </c>
      <c r="F27" s="12" t="s">
        <v>13</v>
      </c>
      <c r="G27" s="12" t="s">
        <v>22</v>
      </c>
      <c r="H27" s="24">
        <v>98.97</v>
      </c>
      <c r="I27" s="25">
        <v>28</v>
      </c>
      <c r="J27" s="26">
        <v>2771.16</v>
      </c>
      <c r="K27" s="27" t="str">
        <f>TEXT(Table1[[#This Row],[Date]],"MMMM")</f>
        <v>June</v>
      </c>
    </row>
    <row r="28" spans="1:11" x14ac:dyDescent="0.25">
      <c r="A28" s="22">
        <v>498</v>
      </c>
      <c r="B28" s="23">
        <v>45898</v>
      </c>
      <c r="C28" s="12" t="s">
        <v>15</v>
      </c>
      <c r="D28" s="12" t="s">
        <v>38</v>
      </c>
      <c r="E28" s="12" t="s">
        <v>24</v>
      </c>
      <c r="F28" s="12" t="s">
        <v>13</v>
      </c>
      <c r="G28" s="12" t="s">
        <v>22</v>
      </c>
      <c r="H28" s="24">
        <v>102.97</v>
      </c>
      <c r="I28" s="25">
        <v>11</v>
      </c>
      <c r="J28" s="26">
        <v>1132.67</v>
      </c>
      <c r="K28" s="27" t="str">
        <f>TEXT(Table1[[#This Row],[Date]],"MMMM")</f>
        <v>August</v>
      </c>
    </row>
    <row r="29" spans="1:11" x14ac:dyDescent="0.25">
      <c r="A29" s="22">
        <v>260</v>
      </c>
      <c r="B29" s="23">
        <v>45939</v>
      </c>
      <c r="C29" s="12" t="s">
        <v>35</v>
      </c>
      <c r="D29" s="12" t="s">
        <v>38</v>
      </c>
      <c r="E29" s="12" t="s">
        <v>39</v>
      </c>
      <c r="F29" s="12" t="s">
        <v>13</v>
      </c>
      <c r="G29" s="12" t="s">
        <v>22</v>
      </c>
      <c r="H29" s="24">
        <v>117.46</v>
      </c>
      <c r="I29" s="25">
        <v>11</v>
      </c>
      <c r="J29" s="26">
        <v>1292.06</v>
      </c>
      <c r="K29" s="27" t="str">
        <f>TEXT(Table1[[#This Row],[Date]],"MMMM")</f>
        <v>October</v>
      </c>
    </row>
    <row r="30" spans="1:11" x14ac:dyDescent="0.25">
      <c r="A30" s="22">
        <v>85</v>
      </c>
      <c r="B30" s="23">
        <v>45970</v>
      </c>
      <c r="C30" s="12" t="s">
        <v>20</v>
      </c>
      <c r="D30" s="12" t="s">
        <v>38</v>
      </c>
      <c r="E30" s="12" t="s">
        <v>24</v>
      </c>
      <c r="F30" s="12" t="s">
        <v>13</v>
      </c>
      <c r="G30" s="12" t="s">
        <v>22</v>
      </c>
      <c r="H30" s="24">
        <v>81.84</v>
      </c>
      <c r="I30" s="25">
        <v>22</v>
      </c>
      <c r="J30" s="26">
        <v>1800.48</v>
      </c>
      <c r="K30" s="27" t="str">
        <f>TEXT(Table1[[#This Row],[Date]],"MMMM")</f>
        <v>November</v>
      </c>
    </row>
    <row r="31" spans="1:11" x14ac:dyDescent="0.25">
      <c r="A31" s="22">
        <v>191</v>
      </c>
      <c r="B31" s="23">
        <v>46004</v>
      </c>
      <c r="C31" s="12" t="s">
        <v>10</v>
      </c>
      <c r="D31" s="12" t="s">
        <v>38</v>
      </c>
      <c r="E31" s="12" t="s">
        <v>12</v>
      </c>
      <c r="F31" s="12" t="s">
        <v>13</v>
      </c>
      <c r="G31" s="12" t="s">
        <v>22</v>
      </c>
      <c r="H31" s="24">
        <v>87.75</v>
      </c>
      <c r="I31" s="25">
        <v>29</v>
      </c>
      <c r="J31" s="26">
        <v>2544.75</v>
      </c>
      <c r="K31" s="27" t="str">
        <f>TEXT(Table1[[#This Row],[Date]],"MMMM")</f>
        <v>December</v>
      </c>
    </row>
    <row r="32" spans="1:11" x14ac:dyDescent="0.25">
      <c r="A32" s="22">
        <v>385</v>
      </c>
      <c r="B32" s="23">
        <v>45899</v>
      </c>
      <c r="C32" s="12" t="s">
        <v>23</v>
      </c>
      <c r="D32" s="12" t="s">
        <v>40</v>
      </c>
      <c r="E32" s="12" t="s">
        <v>21</v>
      </c>
      <c r="F32" s="12" t="s">
        <v>13</v>
      </c>
      <c r="G32" s="12" t="s">
        <v>22</v>
      </c>
      <c r="H32" s="24">
        <v>46.86</v>
      </c>
      <c r="I32" s="25">
        <v>10</v>
      </c>
      <c r="J32" s="26">
        <v>468.6</v>
      </c>
      <c r="K32" s="27" t="str">
        <f>TEXT(Table1[[#This Row],[Date]],"MMMM")</f>
        <v>August</v>
      </c>
    </row>
    <row r="33" spans="1:11" x14ac:dyDescent="0.25">
      <c r="A33" s="22">
        <v>195</v>
      </c>
      <c r="B33" s="23">
        <v>45797</v>
      </c>
      <c r="C33" s="12" t="s">
        <v>23</v>
      </c>
      <c r="D33" s="12" t="s">
        <v>16</v>
      </c>
      <c r="E33" s="12" t="s">
        <v>29</v>
      </c>
      <c r="F33" s="12" t="s">
        <v>13</v>
      </c>
      <c r="G33" s="12" t="s">
        <v>22</v>
      </c>
      <c r="H33" s="24">
        <v>56.67</v>
      </c>
      <c r="I33" s="25">
        <v>33</v>
      </c>
      <c r="J33" s="26">
        <v>1870.11</v>
      </c>
      <c r="K33" s="27" t="str">
        <f>TEXT(Table1[[#This Row],[Date]],"MMMM")</f>
        <v>May</v>
      </c>
    </row>
    <row r="34" spans="1:11" x14ac:dyDescent="0.25">
      <c r="A34" s="22">
        <v>196</v>
      </c>
      <c r="B34" s="23">
        <v>45836</v>
      </c>
      <c r="C34" s="12" t="s">
        <v>20</v>
      </c>
      <c r="D34" s="12" t="s">
        <v>16</v>
      </c>
      <c r="E34" s="12" t="s">
        <v>24</v>
      </c>
      <c r="F34" s="12" t="s">
        <v>13</v>
      </c>
      <c r="G34" s="12" t="s">
        <v>22</v>
      </c>
      <c r="H34" s="24">
        <v>112</v>
      </c>
      <c r="I34" s="25">
        <v>27</v>
      </c>
      <c r="J34" s="26">
        <v>3024</v>
      </c>
      <c r="K34" s="27" t="str">
        <f>TEXT(Table1[[#This Row],[Date]],"MMMM")</f>
        <v>June</v>
      </c>
    </row>
    <row r="35" spans="1:11" x14ac:dyDescent="0.25">
      <c r="A35" s="22">
        <v>449</v>
      </c>
      <c r="B35" s="23">
        <v>45884</v>
      </c>
      <c r="C35" s="12" t="s">
        <v>10</v>
      </c>
      <c r="D35" s="12" t="s">
        <v>16</v>
      </c>
      <c r="E35" s="12" t="s">
        <v>29</v>
      </c>
      <c r="F35" s="12" t="s">
        <v>13</v>
      </c>
      <c r="G35" s="12" t="s">
        <v>22</v>
      </c>
      <c r="H35" s="24">
        <v>94.01</v>
      </c>
      <c r="I35" s="25">
        <v>21</v>
      </c>
      <c r="J35" s="26">
        <v>1974.21</v>
      </c>
      <c r="K35" s="27" t="str">
        <f>TEXT(Table1[[#This Row],[Date]],"MMMM")</f>
        <v>August</v>
      </c>
    </row>
    <row r="36" spans="1:11" x14ac:dyDescent="0.25">
      <c r="A36" s="22">
        <v>281</v>
      </c>
      <c r="B36" s="23">
        <v>45895</v>
      </c>
      <c r="C36" s="12" t="s">
        <v>35</v>
      </c>
      <c r="D36" s="12" t="s">
        <v>16</v>
      </c>
      <c r="E36" s="12" t="s">
        <v>12</v>
      </c>
      <c r="F36" s="12" t="s">
        <v>13</v>
      </c>
      <c r="G36" s="12" t="s">
        <v>22</v>
      </c>
      <c r="H36" s="24">
        <v>82.45</v>
      </c>
      <c r="I36" s="25">
        <v>35</v>
      </c>
      <c r="J36" s="26">
        <v>2885.75</v>
      </c>
      <c r="K36" s="27" t="str">
        <f>TEXT(Table1[[#This Row],[Date]],"MMMM")</f>
        <v>August</v>
      </c>
    </row>
    <row r="37" spans="1:11" x14ac:dyDescent="0.25">
      <c r="A37" s="22">
        <v>199</v>
      </c>
      <c r="B37" s="23">
        <v>45667</v>
      </c>
      <c r="C37" s="12" t="s">
        <v>35</v>
      </c>
      <c r="D37" s="12" t="s">
        <v>26</v>
      </c>
      <c r="E37" s="12" t="s">
        <v>34</v>
      </c>
      <c r="F37" s="12" t="s">
        <v>13</v>
      </c>
      <c r="G37" s="12" t="s">
        <v>22</v>
      </c>
      <c r="H37" s="24">
        <v>34.43</v>
      </c>
      <c r="I37" s="25">
        <v>10</v>
      </c>
      <c r="J37" s="26">
        <v>344.3</v>
      </c>
      <c r="K37" s="27" t="str">
        <f>TEXT(Table1[[#This Row],[Date]],"MMMM")</f>
        <v>January</v>
      </c>
    </row>
    <row r="38" spans="1:11" x14ac:dyDescent="0.25">
      <c r="A38" s="22">
        <v>291</v>
      </c>
      <c r="B38" s="23">
        <v>45755</v>
      </c>
      <c r="C38" s="12" t="s">
        <v>20</v>
      </c>
      <c r="D38" s="12" t="s">
        <v>26</v>
      </c>
      <c r="E38" s="12" t="s">
        <v>12</v>
      </c>
      <c r="F38" s="12" t="s">
        <v>13</v>
      </c>
      <c r="G38" s="12" t="s">
        <v>22</v>
      </c>
      <c r="H38" s="24">
        <v>10.93</v>
      </c>
      <c r="I38" s="25">
        <v>25</v>
      </c>
      <c r="J38" s="26">
        <v>273.25</v>
      </c>
      <c r="K38" s="27" t="str">
        <f>TEXT(Table1[[#This Row],[Date]],"MMMM")</f>
        <v>April</v>
      </c>
    </row>
    <row r="39" spans="1:11" x14ac:dyDescent="0.25">
      <c r="A39" s="22">
        <v>428</v>
      </c>
      <c r="B39" s="23">
        <v>45808</v>
      </c>
      <c r="C39" s="12" t="s">
        <v>15</v>
      </c>
      <c r="D39" s="12" t="s">
        <v>26</v>
      </c>
      <c r="E39" s="12" t="s">
        <v>24</v>
      </c>
      <c r="F39" s="12" t="s">
        <v>13</v>
      </c>
      <c r="G39" s="12" t="s">
        <v>22</v>
      </c>
      <c r="H39" s="24">
        <v>7.31</v>
      </c>
      <c r="I39" s="25">
        <v>17</v>
      </c>
      <c r="J39" s="26">
        <v>124.27</v>
      </c>
      <c r="K39" s="27" t="str">
        <f>TEXT(Table1[[#This Row],[Date]],"MMMM")</f>
        <v>May</v>
      </c>
    </row>
    <row r="40" spans="1:11" x14ac:dyDescent="0.25">
      <c r="A40" s="22">
        <v>175</v>
      </c>
      <c r="B40" s="23">
        <v>45831</v>
      </c>
      <c r="C40" s="12" t="s">
        <v>23</v>
      </c>
      <c r="D40" s="12" t="s">
        <v>26</v>
      </c>
      <c r="E40" s="12" t="s">
        <v>29</v>
      </c>
      <c r="F40" s="12" t="s">
        <v>13</v>
      </c>
      <c r="G40" s="12" t="s">
        <v>22</v>
      </c>
      <c r="H40" s="24">
        <v>30.48</v>
      </c>
      <c r="I40" s="25">
        <v>50</v>
      </c>
      <c r="J40" s="26">
        <v>1524</v>
      </c>
      <c r="K40" s="27" t="str">
        <f>TEXT(Table1[[#This Row],[Date]],"MMMM")</f>
        <v>June</v>
      </c>
    </row>
    <row r="41" spans="1:11" x14ac:dyDescent="0.25">
      <c r="A41" s="22">
        <v>53</v>
      </c>
      <c r="B41" s="23">
        <v>45880</v>
      </c>
      <c r="C41" s="12" t="s">
        <v>35</v>
      </c>
      <c r="D41" s="12" t="s">
        <v>26</v>
      </c>
      <c r="E41" s="12" t="s">
        <v>21</v>
      </c>
      <c r="F41" s="12" t="s">
        <v>13</v>
      </c>
      <c r="G41" s="12" t="s">
        <v>22</v>
      </c>
      <c r="H41" s="24">
        <v>44.75</v>
      </c>
      <c r="I41" s="25">
        <v>21</v>
      </c>
      <c r="J41" s="26">
        <v>939.75</v>
      </c>
      <c r="K41" s="27" t="str">
        <f>TEXT(Table1[[#This Row],[Date]],"MMMM")</f>
        <v>August</v>
      </c>
    </row>
    <row r="42" spans="1:11" x14ac:dyDescent="0.25">
      <c r="A42" s="22">
        <v>72</v>
      </c>
      <c r="B42" s="23">
        <v>45931</v>
      </c>
      <c r="C42" s="12" t="s">
        <v>20</v>
      </c>
      <c r="D42" s="12" t="s">
        <v>26</v>
      </c>
      <c r="E42" s="12" t="s">
        <v>21</v>
      </c>
      <c r="F42" s="12" t="s">
        <v>13</v>
      </c>
      <c r="G42" s="12" t="s">
        <v>22</v>
      </c>
      <c r="H42" s="24">
        <v>8.1</v>
      </c>
      <c r="I42" s="25">
        <v>26</v>
      </c>
      <c r="J42" s="26">
        <v>210.6</v>
      </c>
      <c r="K42" s="27" t="str">
        <f>TEXT(Table1[[#This Row],[Date]],"MMMM")</f>
        <v>October</v>
      </c>
    </row>
    <row r="43" spans="1:11" x14ac:dyDescent="0.25">
      <c r="A43" s="22">
        <v>346</v>
      </c>
      <c r="B43" s="23">
        <v>46021</v>
      </c>
      <c r="C43" s="12" t="s">
        <v>23</v>
      </c>
      <c r="D43" s="12" t="s">
        <v>26</v>
      </c>
      <c r="E43" s="12" t="s">
        <v>17</v>
      </c>
      <c r="F43" s="12" t="s">
        <v>13</v>
      </c>
      <c r="G43" s="12" t="s">
        <v>22</v>
      </c>
      <c r="H43" s="24">
        <v>101.59</v>
      </c>
      <c r="I43" s="25">
        <v>32</v>
      </c>
      <c r="J43" s="26">
        <v>3250.88</v>
      </c>
      <c r="K43" s="27" t="str">
        <f>TEXT(Table1[[#This Row],[Date]],"MMMM")</f>
        <v>December</v>
      </c>
    </row>
    <row r="44" spans="1:11" x14ac:dyDescent="0.25">
      <c r="A44" s="22">
        <v>361</v>
      </c>
      <c r="B44" s="23">
        <v>45658</v>
      </c>
      <c r="C44" s="12" t="s">
        <v>30</v>
      </c>
      <c r="D44" s="12" t="s">
        <v>37</v>
      </c>
      <c r="E44" s="12" t="s">
        <v>34</v>
      </c>
      <c r="F44" s="12" t="s">
        <v>13</v>
      </c>
      <c r="G44" s="12" t="s">
        <v>22</v>
      </c>
      <c r="H44" s="24">
        <v>119.06</v>
      </c>
      <c r="I44" s="25">
        <v>28</v>
      </c>
      <c r="J44" s="26">
        <v>3333.68</v>
      </c>
      <c r="K44" s="27" t="str">
        <f>TEXT(Table1[[#This Row],[Date]],"MMMM")</f>
        <v>January</v>
      </c>
    </row>
    <row r="45" spans="1:11" x14ac:dyDescent="0.25">
      <c r="A45" s="22">
        <v>25</v>
      </c>
      <c r="B45" s="23">
        <v>45779</v>
      </c>
      <c r="C45" s="12" t="s">
        <v>30</v>
      </c>
      <c r="D45" s="12" t="s">
        <v>37</v>
      </c>
      <c r="E45" s="12" t="s">
        <v>39</v>
      </c>
      <c r="F45" s="12" t="s">
        <v>13</v>
      </c>
      <c r="G45" s="12" t="s">
        <v>22</v>
      </c>
      <c r="H45" s="24">
        <v>37.020000000000003</v>
      </c>
      <c r="I45" s="25">
        <v>32</v>
      </c>
      <c r="J45" s="26">
        <v>1184.6400000000001</v>
      </c>
      <c r="K45" s="27" t="str">
        <f>TEXT(Table1[[#This Row],[Date]],"MMMM")</f>
        <v>May</v>
      </c>
    </row>
    <row r="46" spans="1:11" x14ac:dyDescent="0.25">
      <c r="A46" s="22">
        <v>28</v>
      </c>
      <c r="B46" s="23">
        <v>45785</v>
      </c>
      <c r="C46" s="12" t="s">
        <v>27</v>
      </c>
      <c r="D46" s="12" t="s">
        <v>37</v>
      </c>
      <c r="E46" s="12" t="s">
        <v>21</v>
      </c>
      <c r="F46" s="12" t="s">
        <v>13</v>
      </c>
      <c r="G46" s="12" t="s">
        <v>22</v>
      </c>
      <c r="H46" s="24">
        <v>27.03</v>
      </c>
      <c r="I46" s="25">
        <v>35</v>
      </c>
      <c r="J46" s="26">
        <v>946.05</v>
      </c>
      <c r="K46" s="27" t="str">
        <f>TEXT(Table1[[#This Row],[Date]],"MMMM")</f>
        <v>May</v>
      </c>
    </row>
    <row r="47" spans="1:11" x14ac:dyDescent="0.25">
      <c r="A47" s="22">
        <v>431</v>
      </c>
      <c r="B47" s="23">
        <v>45755</v>
      </c>
      <c r="C47" s="12" t="s">
        <v>10</v>
      </c>
      <c r="D47" s="12" t="s">
        <v>36</v>
      </c>
      <c r="E47" s="12" t="s">
        <v>34</v>
      </c>
      <c r="F47" s="12" t="s">
        <v>13</v>
      </c>
      <c r="G47" s="12" t="s">
        <v>19</v>
      </c>
      <c r="H47" s="24">
        <v>52.07</v>
      </c>
      <c r="I47" s="25">
        <v>36</v>
      </c>
      <c r="J47" s="26">
        <v>1874.52</v>
      </c>
      <c r="K47" s="27" t="str">
        <f>TEXT(Table1[[#This Row],[Date]],"MMMM")</f>
        <v>April</v>
      </c>
    </row>
    <row r="48" spans="1:11" x14ac:dyDescent="0.25">
      <c r="A48" s="22">
        <v>419</v>
      </c>
      <c r="B48" s="23">
        <v>45997</v>
      </c>
      <c r="C48" s="12" t="s">
        <v>28</v>
      </c>
      <c r="D48" s="12" t="s">
        <v>36</v>
      </c>
      <c r="E48" s="12" t="s">
        <v>24</v>
      </c>
      <c r="F48" s="12" t="s">
        <v>13</v>
      </c>
      <c r="G48" s="12" t="s">
        <v>19</v>
      </c>
      <c r="H48" s="24">
        <v>50.49</v>
      </c>
      <c r="I48" s="25">
        <v>7</v>
      </c>
      <c r="J48" s="26">
        <v>353.43</v>
      </c>
      <c r="K48" s="27" t="str">
        <f>TEXT(Table1[[#This Row],[Date]],"MMMM")</f>
        <v>December</v>
      </c>
    </row>
    <row r="49" spans="1:11" x14ac:dyDescent="0.25">
      <c r="A49" s="22">
        <v>450</v>
      </c>
      <c r="B49" s="23">
        <v>45766</v>
      </c>
      <c r="C49" s="12" t="s">
        <v>27</v>
      </c>
      <c r="D49" s="12" t="s">
        <v>31</v>
      </c>
      <c r="E49" s="12" t="s">
        <v>17</v>
      </c>
      <c r="F49" s="12" t="s">
        <v>13</v>
      </c>
      <c r="G49" s="12" t="s">
        <v>19</v>
      </c>
      <c r="H49" s="24">
        <v>110.04</v>
      </c>
      <c r="I49" s="25">
        <v>27</v>
      </c>
      <c r="J49" s="26">
        <v>2971.08</v>
      </c>
      <c r="K49" s="27" t="str">
        <f>TEXT(Table1[[#This Row],[Date]],"MMMM")</f>
        <v>April</v>
      </c>
    </row>
    <row r="50" spans="1:11" x14ac:dyDescent="0.25">
      <c r="A50" s="22">
        <v>11</v>
      </c>
      <c r="B50" s="23">
        <v>45796</v>
      </c>
      <c r="C50" s="12" t="s">
        <v>30</v>
      </c>
      <c r="D50" s="12" t="s">
        <v>31</v>
      </c>
      <c r="E50" s="12" t="s">
        <v>17</v>
      </c>
      <c r="F50" s="12" t="s">
        <v>13</v>
      </c>
      <c r="G50" s="12" t="s">
        <v>19</v>
      </c>
      <c r="H50" s="24">
        <v>118.8</v>
      </c>
      <c r="I50" s="25">
        <v>41</v>
      </c>
      <c r="J50" s="26">
        <v>4870.8</v>
      </c>
      <c r="K50" s="27" t="str">
        <f>TEXT(Table1[[#This Row],[Date]],"MMMM")</f>
        <v>May</v>
      </c>
    </row>
    <row r="51" spans="1:11" x14ac:dyDescent="0.25">
      <c r="A51" s="22">
        <v>32</v>
      </c>
      <c r="B51" s="23">
        <v>45942</v>
      </c>
      <c r="C51" s="12" t="s">
        <v>23</v>
      </c>
      <c r="D51" s="12" t="s">
        <v>11</v>
      </c>
      <c r="E51" s="12" t="s">
        <v>34</v>
      </c>
      <c r="F51" s="12" t="s">
        <v>13</v>
      </c>
      <c r="G51" s="12" t="s">
        <v>19</v>
      </c>
      <c r="H51" s="24">
        <v>81.12</v>
      </c>
      <c r="I51" s="25">
        <v>32</v>
      </c>
      <c r="J51" s="26">
        <v>2595.84</v>
      </c>
      <c r="K51" s="27" t="str">
        <f>TEXT(Table1[[#This Row],[Date]],"MMMM")</f>
        <v>October</v>
      </c>
    </row>
    <row r="52" spans="1:11" x14ac:dyDescent="0.25">
      <c r="A52" s="22">
        <v>259</v>
      </c>
      <c r="B52" s="23">
        <v>45777</v>
      </c>
      <c r="C52" s="12" t="s">
        <v>28</v>
      </c>
      <c r="D52" s="12" t="s">
        <v>38</v>
      </c>
      <c r="E52" s="12" t="s">
        <v>29</v>
      </c>
      <c r="F52" s="12" t="s">
        <v>13</v>
      </c>
      <c r="G52" s="12" t="s">
        <v>19</v>
      </c>
      <c r="H52" s="24">
        <v>11.04</v>
      </c>
      <c r="I52" s="25">
        <v>27</v>
      </c>
      <c r="J52" s="26">
        <v>298.08</v>
      </c>
      <c r="K52" s="27" t="str">
        <f>TEXT(Table1[[#This Row],[Date]],"MMMM")</f>
        <v>April</v>
      </c>
    </row>
    <row r="53" spans="1:11" x14ac:dyDescent="0.25">
      <c r="A53" s="22">
        <v>129</v>
      </c>
      <c r="B53" s="23">
        <v>45788</v>
      </c>
      <c r="C53" s="12" t="s">
        <v>20</v>
      </c>
      <c r="D53" s="12" t="s">
        <v>38</v>
      </c>
      <c r="E53" s="12" t="s">
        <v>34</v>
      </c>
      <c r="F53" s="12" t="s">
        <v>13</v>
      </c>
      <c r="G53" s="12" t="s">
        <v>19</v>
      </c>
      <c r="H53" s="24">
        <v>57.85</v>
      </c>
      <c r="I53" s="25">
        <v>43</v>
      </c>
      <c r="J53" s="26">
        <v>2487.5500000000002</v>
      </c>
      <c r="K53" s="27" t="str">
        <f>TEXT(Table1[[#This Row],[Date]],"MMMM")</f>
        <v>May</v>
      </c>
    </row>
    <row r="54" spans="1:11" x14ac:dyDescent="0.25">
      <c r="A54" s="22">
        <v>137</v>
      </c>
      <c r="B54" s="23">
        <v>45809</v>
      </c>
      <c r="C54" s="12" t="s">
        <v>15</v>
      </c>
      <c r="D54" s="12" t="s">
        <v>38</v>
      </c>
      <c r="E54" s="12" t="s">
        <v>29</v>
      </c>
      <c r="F54" s="12" t="s">
        <v>13</v>
      </c>
      <c r="G54" s="12" t="s">
        <v>19</v>
      </c>
      <c r="H54" s="24">
        <v>90.85</v>
      </c>
      <c r="I54" s="25">
        <v>22</v>
      </c>
      <c r="J54" s="26">
        <v>1998.7</v>
      </c>
      <c r="K54" s="27" t="str">
        <f>TEXT(Table1[[#This Row],[Date]],"MMMM")</f>
        <v>June</v>
      </c>
    </row>
    <row r="55" spans="1:11" x14ac:dyDescent="0.25">
      <c r="A55" s="22">
        <v>206</v>
      </c>
      <c r="B55" s="23">
        <v>45831</v>
      </c>
      <c r="C55" s="12" t="s">
        <v>27</v>
      </c>
      <c r="D55" s="12" t="s">
        <v>38</v>
      </c>
      <c r="E55" s="12" t="s">
        <v>32</v>
      </c>
      <c r="F55" s="12" t="s">
        <v>13</v>
      </c>
      <c r="G55" s="12" t="s">
        <v>19</v>
      </c>
      <c r="H55" s="24">
        <v>98.55</v>
      </c>
      <c r="I55" s="25">
        <v>12</v>
      </c>
      <c r="J55" s="26">
        <v>1182.5999999999999</v>
      </c>
      <c r="K55" s="27" t="str">
        <f>TEXT(Table1[[#This Row],[Date]],"MMMM")</f>
        <v>June</v>
      </c>
    </row>
    <row r="56" spans="1:11" x14ac:dyDescent="0.25">
      <c r="A56" s="22">
        <v>188</v>
      </c>
      <c r="B56" s="23">
        <v>45843</v>
      </c>
      <c r="C56" s="12" t="s">
        <v>28</v>
      </c>
      <c r="D56" s="12" t="s">
        <v>38</v>
      </c>
      <c r="E56" s="12" t="s">
        <v>12</v>
      </c>
      <c r="F56" s="12" t="s">
        <v>13</v>
      </c>
      <c r="G56" s="12" t="s">
        <v>19</v>
      </c>
      <c r="H56" s="24">
        <v>40.520000000000003</v>
      </c>
      <c r="I56" s="25">
        <v>14</v>
      </c>
      <c r="J56" s="26">
        <v>567.28</v>
      </c>
      <c r="K56" s="27" t="str">
        <f>TEXT(Table1[[#This Row],[Date]],"MMMM")</f>
        <v>July</v>
      </c>
    </row>
    <row r="57" spans="1:11" x14ac:dyDescent="0.25">
      <c r="A57" s="22">
        <v>267</v>
      </c>
      <c r="B57" s="23">
        <v>45863</v>
      </c>
      <c r="C57" s="12" t="s">
        <v>23</v>
      </c>
      <c r="D57" s="12" t="s">
        <v>38</v>
      </c>
      <c r="E57" s="12" t="s">
        <v>24</v>
      </c>
      <c r="F57" s="12" t="s">
        <v>13</v>
      </c>
      <c r="G57" s="12" t="s">
        <v>19</v>
      </c>
      <c r="H57" s="24">
        <v>81.96</v>
      </c>
      <c r="I57" s="25">
        <v>12</v>
      </c>
      <c r="J57" s="26">
        <v>983.52</v>
      </c>
      <c r="K57" s="27" t="str">
        <f>TEXT(Table1[[#This Row],[Date]],"MMMM")</f>
        <v>July</v>
      </c>
    </row>
    <row r="58" spans="1:11" x14ac:dyDescent="0.25">
      <c r="A58" s="22">
        <v>474</v>
      </c>
      <c r="B58" s="23">
        <v>45677</v>
      </c>
      <c r="C58" s="12" t="s">
        <v>28</v>
      </c>
      <c r="D58" s="12" t="s">
        <v>40</v>
      </c>
      <c r="E58" s="12" t="s">
        <v>24</v>
      </c>
      <c r="F58" s="12" t="s">
        <v>13</v>
      </c>
      <c r="G58" s="12" t="s">
        <v>19</v>
      </c>
      <c r="H58" s="24">
        <v>66.38</v>
      </c>
      <c r="I58" s="25">
        <v>47</v>
      </c>
      <c r="J58" s="26">
        <v>3119.86</v>
      </c>
      <c r="K58" s="27" t="str">
        <f>TEXT(Table1[[#This Row],[Date]],"MMMM")</f>
        <v>January</v>
      </c>
    </row>
    <row r="59" spans="1:11" x14ac:dyDescent="0.25">
      <c r="A59" s="22">
        <v>451</v>
      </c>
      <c r="B59" s="23">
        <v>45817</v>
      </c>
      <c r="C59" s="12" t="s">
        <v>23</v>
      </c>
      <c r="D59" s="12" t="s">
        <v>40</v>
      </c>
      <c r="E59" s="12" t="s">
        <v>32</v>
      </c>
      <c r="F59" s="12" t="s">
        <v>13</v>
      </c>
      <c r="G59" s="12" t="s">
        <v>19</v>
      </c>
      <c r="H59" s="24">
        <v>86.6</v>
      </c>
      <c r="I59" s="25">
        <v>26</v>
      </c>
      <c r="J59" s="26">
        <v>2251.6</v>
      </c>
      <c r="K59" s="27" t="str">
        <f>TEXT(Table1[[#This Row],[Date]],"MMMM")</f>
        <v>June</v>
      </c>
    </row>
    <row r="60" spans="1:11" x14ac:dyDescent="0.25">
      <c r="A60" s="22">
        <v>384</v>
      </c>
      <c r="B60" s="23">
        <v>46003</v>
      </c>
      <c r="C60" s="12" t="s">
        <v>20</v>
      </c>
      <c r="D60" s="12" t="s">
        <v>40</v>
      </c>
      <c r="E60" s="12" t="s">
        <v>17</v>
      </c>
      <c r="F60" s="12" t="s">
        <v>13</v>
      </c>
      <c r="G60" s="12" t="s">
        <v>19</v>
      </c>
      <c r="H60" s="24">
        <v>88.12</v>
      </c>
      <c r="I60" s="25">
        <v>15</v>
      </c>
      <c r="J60" s="26">
        <v>1321.8</v>
      </c>
      <c r="K60" s="27" t="str">
        <f>TEXT(Table1[[#This Row],[Date]],"MMMM")</f>
        <v>December</v>
      </c>
    </row>
    <row r="61" spans="1:11" x14ac:dyDescent="0.25">
      <c r="A61" s="22">
        <v>455</v>
      </c>
      <c r="B61" s="23">
        <v>46010</v>
      </c>
      <c r="C61" s="12" t="s">
        <v>35</v>
      </c>
      <c r="D61" s="12" t="s">
        <v>40</v>
      </c>
      <c r="E61" s="12" t="s">
        <v>32</v>
      </c>
      <c r="F61" s="12" t="s">
        <v>13</v>
      </c>
      <c r="G61" s="12" t="s">
        <v>19</v>
      </c>
      <c r="H61" s="24">
        <v>15.4</v>
      </c>
      <c r="I61" s="25">
        <v>2</v>
      </c>
      <c r="J61" s="26">
        <v>30.8</v>
      </c>
      <c r="K61" s="27" t="str">
        <f>TEXT(Table1[[#This Row],[Date]],"MMMM")</f>
        <v>December</v>
      </c>
    </row>
    <row r="62" spans="1:11" x14ac:dyDescent="0.25">
      <c r="A62" s="22">
        <v>273</v>
      </c>
      <c r="B62" s="23">
        <v>46018</v>
      </c>
      <c r="C62" s="12" t="s">
        <v>15</v>
      </c>
      <c r="D62" s="12" t="s">
        <v>40</v>
      </c>
      <c r="E62" s="12" t="s">
        <v>12</v>
      </c>
      <c r="F62" s="12" t="s">
        <v>13</v>
      </c>
      <c r="G62" s="12" t="s">
        <v>19</v>
      </c>
      <c r="H62" s="24">
        <v>46.61</v>
      </c>
      <c r="I62" s="25">
        <v>37</v>
      </c>
      <c r="J62" s="26">
        <v>1724.57</v>
      </c>
      <c r="K62" s="27" t="str">
        <f>TEXT(Table1[[#This Row],[Date]],"MMMM")</f>
        <v>December</v>
      </c>
    </row>
    <row r="63" spans="1:11" x14ac:dyDescent="0.25">
      <c r="A63" s="22">
        <v>236</v>
      </c>
      <c r="B63" s="23">
        <v>45784</v>
      </c>
      <c r="C63" s="12" t="s">
        <v>10</v>
      </c>
      <c r="D63" s="12" t="s">
        <v>16</v>
      </c>
      <c r="E63" s="12" t="s">
        <v>21</v>
      </c>
      <c r="F63" s="12" t="s">
        <v>13</v>
      </c>
      <c r="G63" s="12" t="s">
        <v>19</v>
      </c>
      <c r="H63" s="24">
        <v>21.2</v>
      </c>
      <c r="I63" s="25">
        <v>4</v>
      </c>
      <c r="J63" s="26">
        <v>84.8</v>
      </c>
      <c r="K63" s="27" t="str">
        <f>TEXT(Table1[[#This Row],[Date]],"MMMM")</f>
        <v>May</v>
      </c>
    </row>
    <row r="64" spans="1:11" x14ac:dyDescent="0.25">
      <c r="A64" s="22">
        <v>214</v>
      </c>
      <c r="B64" s="23">
        <v>45880</v>
      </c>
      <c r="C64" s="12" t="s">
        <v>15</v>
      </c>
      <c r="D64" s="12" t="s">
        <v>16</v>
      </c>
      <c r="E64" s="12" t="s">
        <v>24</v>
      </c>
      <c r="F64" s="12" t="s">
        <v>13</v>
      </c>
      <c r="G64" s="12" t="s">
        <v>19</v>
      </c>
      <c r="H64" s="24">
        <v>36.57</v>
      </c>
      <c r="I64" s="25">
        <v>4</v>
      </c>
      <c r="J64" s="26">
        <v>146.28</v>
      </c>
      <c r="K64" s="27" t="str">
        <f>TEXT(Table1[[#This Row],[Date]],"MMMM")</f>
        <v>August</v>
      </c>
    </row>
    <row r="65" spans="1:11" x14ac:dyDescent="0.25">
      <c r="A65" s="22">
        <v>410</v>
      </c>
      <c r="B65" s="23">
        <v>45906</v>
      </c>
      <c r="C65" s="12" t="s">
        <v>28</v>
      </c>
      <c r="D65" s="12" t="s">
        <v>16</v>
      </c>
      <c r="E65" s="12" t="s">
        <v>34</v>
      </c>
      <c r="F65" s="12" t="s">
        <v>13</v>
      </c>
      <c r="G65" s="12" t="s">
        <v>19</v>
      </c>
      <c r="H65" s="24">
        <v>44.56</v>
      </c>
      <c r="I65" s="25">
        <v>37</v>
      </c>
      <c r="J65" s="26">
        <v>1648.72</v>
      </c>
      <c r="K65" s="27" t="str">
        <f>TEXT(Table1[[#This Row],[Date]],"MMMM")</f>
        <v>September</v>
      </c>
    </row>
    <row r="66" spans="1:11" x14ac:dyDescent="0.25">
      <c r="A66" s="22">
        <v>197</v>
      </c>
      <c r="B66" s="23">
        <v>45699</v>
      </c>
      <c r="C66" s="12" t="s">
        <v>28</v>
      </c>
      <c r="D66" s="12" t="s">
        <v>26</v>
      </c>
      <c r="E66" s="12" t="s">
        <v>24</v>
      </c>
      <c r="F66" s="12" t="s">
        <v>13</v>
      </c>
      <c r="G66" s="12" t="s">
        <v>19</v>
      </c>
      <c r="H66" s="24">
        <v>48.11</v>
      </c>
      <c r="I66" s="25">
        <v>2</v>
      </c>
      <c r="J66" s="26">
        <v>96.22</v>
      </c>
      <c r="K66" s="27" t="str">
        <f>TEXT(Table1[[#This Row],[Date]],"MMMM")</f>
        <v>February</v>
      </c>
    </row>
    <row r="67" spans="1:11" x14ac:dyDescent="0.25">
      <c r="A67" s="22">
        <v>486</v>
      </c>
      <c r="B67" s="23">
        <v>45778</v>
      </c>
      <c r="C67" s="12" t="s">
        <v>15</v>
      </c>
      <c r="D67" s="12" t="s">
        <v>26</v>
      </c>
      <c r="E67" s="12" t="s">
        <v>39</v>
      </c>
      <c r="F67" s="12" t="s">
        <v>13</v>
      </c>
      <c r="G67" s="12" t="s">
        <v>19</v>
      </c>
      <c r="H67" s="24">
        <v>5.31</v>
      </c>
      <c r="I67" s="25">
        <v>43</v>
      </c>
      <c r="J67" s="26">
        <v>228.33</v>
      </c>
      <c r="K67" s="27" t="str">
        <f>TEXT(Table1[[#This Row],[Date]],"MMMM")</f>
        <v>May</v>
      </c>
    </row>
    <row r="68" spans="1:11" x14ac:dyDescent="0.25">
      <c r="A68" s="22">
        <v>147</v>
      </c>
      <c r="B68" s="23">
        <v>45782</v>
      </c>
      <c r="C68" s="12" t="s">
        <v>30</v>
      </c>
      <c r="D68" s="12" t="s">
        <v>26</v>
      </c>
      <c r="E68" s="12" t="s">
        <v>12</v>
      </c>
      <c r="F68" s="12" t="s">
        <v>13</v>
      </c>
      <c r="G68" s="12" t="s">
        <v>19</v>
      </c>
      <c r="H68" s="24">
        <v>118.71</v>
      </c>
      <c r="I68" s="25">
        <v>37</v>
      </c>
      <c r="J68" s="26">
        <v>4392.2700000000004</v>
      </c>
      <c r="K68" s="27" t="str">
        <f>TEXT(Table1[[#This Row],[Date]],"MMMM")</f>
        <v>May</v>
      </c>
    </row>
    <row r="69" spans="1:11" x14ac:dyDescent="0.25">
      <c r="A69" s="22">
        <v>229</v>
      </c>
      <c r="B69" s="23">
        <v>45940</v>
      </c>
      <c r="C69" s="12" t="s">
        <v>10</v>
      </c>
      <c r="D69" s="12" t="s">
        <v>26</v>
      </c>
      <c r="E69" s="12" t="s">
        <v>32</v>
      </c>
      <c r="F69" s="12" t="s">
        <v>13</v>
      </c>
      <c r="G69" s="12" t="s">
        <v>19</v>
      </c>
      <c r="H69" s="24">
        <v>36.56</v>
      </c>
      <c r="I69" s="25">
        <v>41</v>
      </c>
      <c r="J69" s="26">
        <v>1498.96</v>
      </c>
      <c r="K69" s="27" t="str">
        <f>TEXT(Table1[[#This Row],[Date]],"MMMM")</f>
        <v>October</v>
      </c>
    </row>
    <row r="70" spans="1:11" x14ac:dyDescent="0.25">
      <c r="A70" s="22">
        <v>319</v>
      </c>
      <c r="B70" s="23">
        <v>45856</v>
      </c>
      <c r="C70" s="12" t="s">
        <v>30</v>
      </c>
      <c r="D70" s="12" t="s">
        <v>37</v>
      </c>
      <c r="E70" s="12" t="s">
        <v>21</v>
      </c>
      <c r="F70" s="12" t="s">
        <v>13</v>
      </c>
      <c r="G70" s="12" t="s">
        <v>19</v>
      </c>
      <c r="H70" s="24">
        <v>94.6</v>
      </c>
      <c r="I70" s="25">
        <v>47</v>
      </c>
      <c r="J70" s="26">
        <v>4446.2</v>
      </c>
      <c r="K70" s="27" t="str">
        <f>TEXT(Table1[[#This Row],[Date]],"MMMM")</f>
        <v>July</v>
      </c>
    </row>
    <row r="71" spans="1:11" x14ac:dyDescent="0.25">
      <c r="A71" s="22">
        <v>351</v>
      </c>
      <c r="B71" s="23">
        <v>45959</v>
      </c>
      <c r="C71" s="12" t="s">
        <v>35</v>
      </c>
      <c r="D71" s="12" t="s">
        <v>37</v>
      </c>
      <c r="E71" s="12" t="s">
        <v>32</v>
      </c>
      <c r="F71" s="12" t="s">
        <v>13</v>
      </c>
      <c r="G71" s="12" t="s">
        <v>19</v>
      </c>
      <c r="H71" s="24">
        <v>84.25</v>
      </c>
      <c r="I71" s="25">
        <v>46</v>
      </c>
      <c r="J71" s="26">
        <v>3875.5</v>
      </c>
      <c r="K71" s="27" t="str">
        <f>TEXT(Table1[[#This Row],[Date]],"MMMM")</f>
        <v>October</v>
      </c>
    </row>
    <row r="72" spans="1:11" x14ac:dyDescent="0.25">
      <c r="A72" s="22">
        <v>492</v>
      </c>
      <c r="B72" s="23">
        <v>45990</v>
      </c>
      <c r="C72" s="12" t="s">
        <v>15</v>
      </c>
      <c r="D72" s="12" t="s">
        <v>37</v>
      </c>
      <c r="E72" s="12" t="s">
        <v>17</v>
      </c>
      <c r="F72" s="12" t="s">
        <v>13</v>
      </c>
      <c r="G72" s="12" t="s">
        <v>19</v>
      </c>
      <c r="H72" s="24">
        <v>106.9</v>
      </c>
      <c r="I72" s="25">
        <v>11</v>
      </c>
      <c r="J72" s="26">
        <v>1175.9000000000001</v>
      </c>
      <c r="K72" s="27" t="str">
        <f>TEXT(Table1[[#This Row],[Date]],"MMMM")</f>
        <v>November</v>
      </c>
    </row>
    <row r="73" spans="1:11" x14ac:dyDescent="0.25">
      <c r="A73" s="22">
        <v>77</v>
      </c>
      <c r="B73" s="23">
        <v>45716</v>
      </c>
      <c r="C73" s="12" t="s">
        <v>27</v>
      </c>
      <c r="D73" s="12" t="s">
        <v>36</v>
      </c>
      <c r="E73" s="12" t="s">
        <v>24</v>
      </c>
      <c r="F73" s="12" t="s">
        <v>13</v>
      </c>
      <c r="G73" s="12" t="s">
        <v>14</v>
      </c>
      <c r="H73" s="24">
        <v>69.86</v>
      </c>
      <c r="I73" s="25">
        <v>14</v>
      </c>
      <c r="J73" s="26">
        <v>978.04</v>
      </c>
      <c r="K73" s="27" t="str">
        <f>TEXT(Table1[[#This Row],[Date]],"MMMM")</f>
        <v>February</v>
      </c>
    </row>
    <row r="74" spans="1:11" x14ac:dyDescent="0.25">
      <c r="A74" s="22">
        <v>41</v>
      </c>
      <c r="B74" s="23">
        <v>45717</v>
      </c>
      <c r="C74" s="12" t="s">
        <v>23</v>
      </c>
      <c r="D74" s="12" t="s">
        <v>36</v>
      </c>
      <c r="E74" s="12" t="s">
        <v>34</v>
      </c>
      <c r="F74" s="12" t="s">
        <v>13</v>
      </c>
      <c r="G74" s="12" t="s">
        <v>14</v>
      </c>
      <c r="H74" s="24">
        <v>107.32</v>
      </c>
      <c r="I74" s="25">
        <v>48</v>
      </c>
      <c r="J74" s="26">
        <v>5151.3599999999997</v>
      </c>
      <c r="K74" s="27" t="str">
        <f>TEXT(Table1[[#This Row],[Date]],"MMMM")</f>
        <v>March</v>
      </c>
    </row>
    <row r="75" spans="1:11" x14ac:dyDescent="0.25">
      <c r="A75" s="22">
        <v>21</v>
      </c>
      <c r="B75" s="23">
        <v>45722</v>
      </c>
      <c r="C75" s="12" t="s">
        <v>23</v>
      </c>
      <c r="D75" s="12" t="s">
        <v>36</v>
      </c>
      <c r="E75" s="12" t="s">
        <v>21</v>
      </c>
      <c r="F75" s="12" t="s">
        <v>13</v>
      </c>
      <c r="G75" s="12" t="s">
        <v>14</v>
      </c>
      <c r="H75" s="24">
        <v>19.77</v>
      </c>
      <c r="I75" s="25">
        <v>31</v>
      </c>
      <c r="J75" s="26">
        <v>612.87</v>
      </c>
      <c r="K75" s="27" t="str">
        <f>TEXT(Table1[[#This Row],[Date]],"MMMM")</f>
        <v>March</v>
      </c>
    </row>
    <row r="76" spans="1:11" x14ac:dyDescent="0.25">
      <c r="A76" s="22">
        <v>461</v>
      </c>
      <c r="B76" s="23">
        <v>45799</v>
      </c>
      <c r="C76" s="12" t="s">
        <v>10</v>
      </c>
      <c r="D76" s="12" t="s">
        <v>36</v>
      </c>
      <c r="E76" s="12" t="s">
        <v>12</v>
      </c>
      <c r="F76" s="12" t="s">
        <v>13</v>
      </c>
      <c r="G76" s="12" t="s">
        <v>14</v>
      </c>
      <c r="H76" s="24">
        <v>78.67</v>
      </c>
      <c r="I76" s="25">
        <v>18</v>
      </c>
      <c r="J76" s="26">
        <v>1416.06</v>
      </c>
      <c r="K76" s="27" t="str">
        <f>TEXT(Table1[[#This Row],[Date]],"MMMM")</f>
        <v>May</v>
      </c>
    </row>
    <row r="77" spans="1:11" x14ac:dyDescent="0.25">
      <c r="A77" s="22">
        <v>221</v>
      </c>
      <c r="B77" s="23">
        <v>45821</v>
      </c>
      <c r="C77" s="12" t="s">
        <v>15</v>
      </c>
      <c r="D77" s="12" t="s">
        <v>36</v>
      </c>
      <c r="E77" s="12" t="s">
        <v>34</v>
      </c>
      <c r="F77" s="12" t="s">
        <v>13</v>
      </c>
      <c r="G77" s="12" t="s">
        <v>14</v>
      </c>
      <c r="H77" s="24">
        <v>81.8</v>
      </c>
      <c r="I77" s="25">
        <v>46</v>
      </c>
      <c r="J77" s="26">
        <v>3762.8</v>
      </c>
      <c r="K77" s="27" t="str">
        <f>TEXT(Table1[[#This Row],[Date]],"MMMM")</f>
        <v>June</v>
      </c>
    </row>
    <row r="78" spans="1:11" x14ac:dyDescent="0.25">
      <c r="A78" s="22">
        <v>148</v>
      </c>
      <c r="B78" s="23">
        <v>45826</v>
      </c>
      <c r="C78" s="12" t="s">
        <v>20</v>
      </c>
      <c r="D78" s="12" t="s">
        <v>36</v>
      </c>
      <c r="E78" s="12" t="s">
        <v>32</v>
      </c>
      <c r="F78" s="12" t="s">
        <v>13</v>
      </c>
      <c r="G78" s="12" t="s">
        <v>14</v>
      </c>
      <c r="H78" s="24">
        <v>94.05</v>
      </c>
      <c r="I78" s="25">
        <v>39</v>
      </c>
      <c r="J78" s="26">
        <v>3667.95</v>
      </c>
      <c r="K78" s="27" t="str">
        <f>TEXT(Table1[[#This Row],[Date]],"MMMM")</f>
        <v>June</v>
      </c>
    </row>
    <row r="79" spans="1:11" x14ac:dyDescent="0.25">
      <c r="A79" s="22">
        <v>421</v>
      </c>
      <c r="B79" s="23">
        <v>45959</v>
      </c>
      <c r="C79" s="12" t="s">
        <v>10</v>
      </c>
      <c r="D79" s="12" t="s">
        <v>36</v>
      </c>
      <c r="E79" s="12" t="s">
        <v>32</v>
      </c>
      <c r="F79" s="12" t="s">
        <v>13</v>
      </c>
      <c r="G79" s="12" t="s">
        <v>14</v>
      </c>
      <c r="H79" s="24">
        <v>98.66</v>
      </c>
      <c r="I79" s="25">
        <v>25</v>
      </c>
      <c r="J79" s="26">
        <v>2466.5</v>
      </c>
      <c r="K79" s="27" t="str">
        <f>TEXT(Table1[[#This Row],[Date]],"MMMM")</f>
        <v>October</v>
      </c>
    </row>
    <row r="80" spans="1:11" x14ac:dyDescent="0.25">
      <c r="A80" s="22">
        <v>299</v>
      </c>
      <c r="B80" s="23">
        <v>45986</v>
      </c>
      <c r="C80" s="12" t="s">
        <v>23</v>
      </c>
      <c r="D80" s="12" t="s">
        <v>31</v>
      </c>
      <c r="E80" s="12" t="s">
        <v>32</v>
      </c>
      <c r="F80" s="12" t="s">
        <v>13</v>
      </c>
      <c r="G80" s="12" t="s">
        <v>14</v>
      </c>
      <c r="H80" s="24">
        <v>90.05</v>
      </c>
      <c r="I80" s="25">
        <v>30</v>
      </c>
      <c r="J80" s="26">
        <v>2701.5</v>
      </c>
      <c r="K80" s="27" t="str">
        <f>TEXT(Table1[[#This Row],[Date]],"MMMM")</f>
        <v>November</v>
      </c>
    </row>
    <row r="81" spans="1:11" x14ac:dyDescent="0.25">
      <c r="A81" s="22">
        <v>48</v>
      </c>
      <c r="B81" s="23">
        <v>45670</v>
      </c>
      <c r="C81" s="12" t="s">
        <v>35</v>
      </c>
      <c r="D81" s="12" t="s">
        <v>11</v>
      </c>
      <c r="E81" s="12" t="s">
        <v>34</v>
      </c>
      <c r="F81" s="12" t="s">
        <v>13</v>
      </c>
      <c r="G81" s="12" t="s">
        <v>14</v>
      </c>
      <c r="H81" s="24">
        <v>25.63</v>
      </c>
      <c r="I81" s="25">
        <v>22</v>
      </c>
      <c r="J81" s="26">
        <v>563.86</v>
      </c>
      <c r="K81" s="27" t="str">
        <f>TEXT(Table1[[#This Row],[Date]],"MMMM")</f>
        <v>January</v>
      </c>
    </row>
    <row r="82" spans="1:11" x14ac:dyDescent="0.25">
      <c r="A82" s="22">
        <v>124</v>
      </c>
      <c r="B82" s="23">
        <v>45907</v>
      </c>
      <c r="C82" s="12" t="s">
        <v>15</v>
      </c>
      <c r="D82" s="12" t="s">
        <v>11</v>
      </c>
      <c r="E82" s="12" t="s">
        <v>34</v>
      </c>
      <c r="F82" s="12" t="s">
        <v>13</v>
      </c>
      <c r="G82" s="12" t="s">
        <v>14</v>
      </c>
      <c r="H82" s="24">
        <v>105.32</v>
      </c>
      <c r="I82" s="25">
        <v>3</v>
      </c>
      <c r="J82" s="26">
        <v>315.95999999999998</v>
      </c>
      <c r="K82" s="27" t="str">
        <f>TEXT(Table1[[#This Row],[Date]],"MMMM")</f>
        <v>September</v>
      </c>
    </row>
    <row r="83" spans="1:11" x14ac:dyDescent="0.25">
      <c r="A83" s="22">
        <v>285</v>
      </c>
      <c r="B83" s="23">
        <v>45952</v>
      </c>
      <c r="C83" s="12" t="s">
        <v>28</v>
      </c>
      <c r="D83" s="12" t="s">
        <v>11</v>
      </c>
      <c r="E83" s="12" t="s">
        <v>34</v>
      </c>
      <c r="F83" s="12" t="s">
        <v>13</v>
      </c>
      <c r="G83" s="12" t="s">
        <v>14</v>
      </c>
      <c r="H83" s="24">
        <v>41.67</v>
      </c>
      <c r="I83" s="25">
        <v>39</v>
      </c>
      <c r="J83" s="26">
        <v>1625.13</v>
      </c>
      <c r="K83" s="27" t="str">
        <f>TEXT(Table1[[#This Row],[Date]],"MMMM")</f>
        <v>October</v>
      </c>
    </row>
    <row r="84" spans="1:11" x14ac:dyDescent="0.25">
      <c r="A84" s="22">
        <v>1</v>
      </c>
      <c r="B84" s="23">
        <v>45985</v>
      </c>
      <c r="C84" s="12" t="s">
        <v>10</v>
      </c>
      <c r="D84" s="12" t="s">
        <v>11</v>
      </c>
      <c r="E84" s="12" t="s">
        <v>12</v>
      </c>
      <c r="F84" s="12" t="s">
        <v>13</v>
      </c>
      <c r="G84" s="12" t="s">
        <v>14</v>
      </c>
      <c r="H84" s="24">
        <v>17.8</v>
      </c>
      <c r="I84" s="25">
        <v>48</v>
      </c>
      <c r="J84" s="26">
        <v>854.4</v>
      </c>
      <c r="K84" s="27" t="str">
        <f>TEXT(Table1[[#This Row],[Date]],"MMMM")</f>
        <v>November</v>
      </c>
    </row>
    <row r="85" spans="1:11" x14ac:dyDescent="0.25">
      <c r="A85" s="22">
        <v>258</v>
      </c>
      <c r="B85" s="23">
        <v>46014</v>
      </c>
      <c r="C85" s="12" t="s">
        <v>30</v>
      </c>
      <c r="D85" s="12" t="s">
        <v>11</v>
      </c>
      <c r="E85" s="12" t="s">
        <v>17</v>
      </c>
      <c r="F85" s="12" t="s">
        <v>13</v>
      </c>
      <c r="G85" s="12" t="s">
        <v>14</v>
      </c>
      <c r="H85" s="24">
        <v>36.24</v>
      </c>
      <c r="I85" s="25">
        <v>7</v>
      </c>
      <c r="J85" s="26">
        <v>253.68</v>
      </c>
      <c r="K85" s="27" t="str">
        <f>TEXT(Table1[[#This Row],[Date]],"MMMM")</f>
        <v>December</v>
      </c>
    </row>
    <row r="86" spans="1:11" x14ac:dyDescent="0.25">
      <c r="A86" s="22">
        <v>106</v>
      </c>
      <c r="B86" s="23">
        <v>45678</v>
      </c>
      <c r="C86" s="12" t="s">
        <v>27</v>
      </c>
      <c r="D86" s="12" t="s">
        <v>38</v>
      </c>
      <c r="E86" s="12" t="s">
        <v>34</v>
      </c>
      <c r="F86" s="12" t="s">
        <v>13</v>
      </c>
      <c r="G86" s="12" t="s">
        <v>14</v>
      </c>
      <c r="H86" s="24">
        <v>92.76</v>
      </c>
      <c r="I86" s="25">
        <v>12</v>
      </c>
      <c r="J86" s="26">
        <v>1113.1199999999999</v>
      </c>
      <c r="K86" s="27" t="str">
        <f>TEXT(Table1[[#This Row],[Date]],"MMMM")</f>
        <v>January</v>
      </c>
    </row>
    <row r="87" spans="1:11" x14ac:dyDescent="0.25">
      <c r="A87" s="22">
        <v>283</v>
      </c>
      <c r="B87" s="23">
        <v>45763</v>
      </c>
      <c r="C87" s="12" t="s">
        <v>20</v>
      </c>
      <c r="D87" s="12" t="s">
        <v>38</v>
      </c>
      <c r="E87" s="12" t="s">
        <v>17</v>
      </c>
      <c r="F87" s="12" t="s">
        <v>13</v>
      </c>
      <c r="G87" s="12" t="s">
        <v>14</v>
      </c>
      <c r="H87" s="24">
        <v>12.74</v>
      </c>
      <c r="I87" s="25">
        <v>39</v>
      </c>
      <c r="J87" s="26">
        <v>496.86</v>
      </c>
      <c r="K87" s="27" t="str">
        <f>TEXT(Table1[[#This Row],[Date]],"MMMM")</f>
        <v>April</v>
      </c>
    </row>
    <row r="88" spans="1:11" x14ac:dyDescent="0.25">
      <c r="A88" s="22">
        <v>120</v>
      </c>
      <c r="B88" s="23">
        <v>45853</v>
      </c>
      <c r="C88" s="12" t="s">
        <v>23</v>
      </c>
      <c r="D88" s="12" t="s">
        <v>38</v>
      </c>
      <c r="E88" s="12" t="s">
        <v>17</v>
      </c>
      <c r="F88" s="12" t="s">
        <v>13</v>
      </c>
      <c r="G88" s="12" t="s">
        <v>14</v>
      </c>
      <c r="H88" s="24">
        <v>49.4</v>
      </c>
      <c r="I88" s="25">
        <v>43</v>
      </c>
      <c r="J88" s="26">
        <v>2124.1999999999998</v>
      </c>
      <c r="K88" s="27" t="str">
        <f>TEXT(Table1[[#This Row],[Date]],"MMMM")</f>
        <v>July</v>
      </c>
    </row>
    <row r="89" spans="1:11" x14ac:dyDescent="0.25">
      <c r="A89" s="22">
        <v>61</v>
      </c>
      <c r="B89" s="23">
        <v>45901</v>
      </c>
      <c r="C89" s="12" t="s">
        <v>15</v>
      </c>
      <c r="D89" s="12" t="s">
        <v>38</v>
      </c>
      <c r="E89" s="12" t="s">
        <v>21</v>
      </c>
      <c r="F89" s="12" t="s">
        <v>13</v>
      </c>
      <c r="G89" s="12" t="s">
        <v>14</v>
      </c>
      <c r="H89" s="24">
        <v>75.3</v>
      </c>
      <c r="I89" s="25">
        <v>50</v>
      </c>
      <c r="J89" s="26">
        <v>3765</v>
      </c>
      <c r="K89" s="27" t="str">
        <f>TEXT(Table1[[#This Row],[Date]],"MMMM")</f>
        <v>September</v>
      </c>
    </row>
    <row r="90" spans="1:11" x14ac:dyDescent="0.25">
      <c r="A90" s="22">
        <v>118</v>
      </c>
      <c r="B90" s="23">
        <v>45933</v>
      </c>
      <c r="C90" s="12" t="s">
        <v>35</v>
      </c>
      <c r="D90" s="12" t="s">
        <v>38</v>
      </c>
      <c r="E90" s="12" t="s">
        <v>24</v>
      </c>
      <c r="F90" s="12" t="s">
        <v>13</v>
      </c>
      <c r="G90" s="12" t="s">
        <v>14</v>
      </c>
      <c r="H90" s="24">
        <v>60.7</v>
      </c>
      <c r="I90" s="25">
        <v>22</v>
      </c>
      <c r="J90" s="26">
        <v>1335.4</v>
      </c>
      <c r="K90" s="27" t="str">
        <f>TEXT(Table1[[#This Row],[Date]],"MMMM")</f>
        <v>October</v>
      </c>
    </row>
    <row r="91" spans="1:11" x14ac:dyDescent="0.25">
      <c r="A91" s="22">
        <v>292</v>
      </c>
      <c r="B91" s="23">
        <v>45764</v>
      </c>
      <c r="C91" s="12" t="s">
        <v>10</v>
      </c>
      <c r="D91" s="12" t="s">
        <v>40</v>
      </c>
      <c r="E91" s="12" t="s">
        <v>12</v>
      </c>
      <c r="F91" s="12" t="s">
        <v>13</v>
      </c>
      <c r="G91" s="12" t="s">
        <v>14</v>
      </c>
      <c r="H91" s="24">
        <v>104.99</v>
      </c>
      <c r="I91" s="25">
        <v>22</v>
      </c>
      <c r="J91" s="26">
        <v>2309.7800000000002</v>
      </c>
      <c r="K91" s="27" t="str">
        <f>TEXT(Table1[[#This Row],[Date]],"MMMM")</f>
        <v>April</v>
      </c>
    </row>
    <row r="92" spans="1:11" x14ac:dyDescent="0.25">
      <c r="A92" s="22">
        <v>98</v>
      </c>
      <c r="B92" s="23">
        <v>45810</v>
      </c>
      <c r="C92" s="12" t="s">
        <v>10</v>
      </c>
      <c r="D92" s="12" t="s">
        <v>40</v>
      </c>
      <c r="E92" s="12" t="s">
        <v>29</v>
      </c>
      <c r="F92" s="12" t="s">
        <v>13</v>
      </c>
      <c r="G92" s="12" t="s">
        <v>14</v>
      </c>
      <c r="H92" s="24">
        <v>103.92</v>
      </c>
      <c r="I92" s="25">
        <v>28</v>
      </c>
      <c r="J92" s="26">
        <v>2909.76</v>
      </c>
      <c r="K92" s="27" t="str">
        <f>TEXT(Table1[[#This Row],[Date]],"MMMM")</f>
        <v>June</v>
      </c>
    </row>
    <row r="93" spans="1:11" x14ac:dyDescent="0.25">
      <c r="A93" s="22">
        <v>489</v>
      </c>
      <c r="B93" s="23">
        <v>45818</v>
      </c>
      <c r="C93" s="12" t="s">
        <v>15</v>
      </c>
      <c r="D93" s="12" t="s">
        <v>40</v>
      </c>
      <c r="E93" s="12" t="s">
        <v>17</v>
      </c>
      <c r="F93" s="12" t="s">
        <v>13</v>
      </c>
      <c r="G93" s="12" t="s">
        <v>14</v>
      </c>
      <c r="H93" s="24">
        <v>53.99</v>
      </c>
      <c r="I93" s="25">
        <v>8</v>
      </c>
      <c r="J93" s="26">
        <v>431.92</v>
      </c>
      <c r="K93" s="27" t="str">
        <f>TEXT(Table1[[#This Row],[Date]],"MMMM")</f>
        <v>June</v>
      </c>
    </row>
    <row r="94" spans="1:11" x14ac:dyDescent="0.25">
      <c r="A94" s="22">
        <v>414</v>
      </c>
      <c r="B94" s="23">
        <v>45820</v>
      </c>
      <c r="C94" s="12" t="s">
        <v>28</v>
      </c>
      <c r="D94" s="12" t="s">
        <v>40</v>
      </c>
      <c r="E94" s="12" t="s">
        <v>24</v>
      </c>
      <c r="F94" s="12" t="s">
        <v>13</v>
      </c>
      <c r="G94" s="12" t="s">
        <v>14</v>
      </c>
      <c r="H94" s="24">
        <v>97.71</v>
      </c>
      <c r="I94" s="25">
        <v>45</v>
      </c>
      <c r="J94" s="26">
        <v>4396.95</v>
      </c>
      <c r="K94" s="27" t="str">
        <f>TEXT(Table1[[#This Row],[Date]],"MMMM")</f>
        <v>June</v>
      </c>
    </row>
    <row r="95" spans="1:11" x14ac:dyDescent="0.25">
      <c r="A95" s="22">
        <v>165</v>
      </c>
      <c r="B95" s="23">
        <v>45824</v>
      </c>
      <c r="C95" s="12" t="s">
        <v>15</v>
      </c>
      <c r="D95" s="12" t="s">
        <v>40</v>
      </c>
      <c r="E95" s="12" t="s">
        <v>32</v>
      </c>
      <c r="F95" s="12" t="s">
        <v>13</v>
      </c>
      <c r="G95" s="12" t="s">
        <v>14</v>
      </c>
      <c r="H95" s="24">
        <v>94.34</v>
      </c>
      <c r="I95" s="25">
        <v>37</v>
      </c>
      <c r="J95" s="26">
        <v>3490.58</v>
      </c>
      <c r="K95" s="27" t="str">
        <f>TEXT(Table1[[#This Row],[Date]],"MMMM")</f>
        <v>June</v>
      </c>
    </row>
    <row r="96" spans="1:11" x14ac:dyDescent="0.25">
      <c r="A96" s="22">
        <v>478</v>
      </c>
      <c r="B96" s="23">
        <v>45841</v>
      </c>
      <c r="C96" s="12" t="s">
        <v>35</v>
      </c>
      <c r="D96" s="12" t="s">
        <v>40</v>
      </c>
      <c r="E96" s="12" t="s">
        <v>12</v>
      </c>
      <c r="F96" s="12" t="s">
        <v>13</v>
      </c>
      <c r="G96" s="12" t="s">
        <v>14</v>
      </c>
      <c r="H96" s="24">
        <v>91.26</v>
      </c>
      <c r="I96" s="25">
        <v>11</v>
      </c>
      <c r="J96" s="26">
        <v>1003.86</v>
      </c>
      <c r="K96" s="27" t="str">
        <f>TEXT(Table1[[#This Row],[Date]],"MMMM")</f>
        <v>July</v>
      </c>
    </row>
    <row r="97" spans="1:11" x14ac:dyDescent="0.25">
      <c r="A97" s="22">
        <v>248</v>
      </c>
      <c r="B97" s="23">
        <v>45900</v>
      </c>
      <c r="C97" s="12" t="s">
        <v>30</v>
      </c>
      <c r="D97" s="12" t="s">
        <v>40</v>
      </c>
      <c r="E97" s="12" t="s">
        <v>39</v>
      </c>
      <c r="F97" s="12" t="s">
        <v>13</v>
      </c>
      <c r="G97" s="12" t="s">
        <v>14</v>
      </c>
      <c r="H97" s="24">
        <v>35.54</v>
      </c>
      <c r="I97" s="25">
        <v>42</v>
      </c>
      <c r="J97" s="26">
        <v>1492.68</v>
      </c>
      <c r="K97" s="27" t="str">
        <f>TEXT(Table1[[#This Row],[Date]],"MMMM")</f>
        <v>August</v>
      </c>
    </row>
    <row r="98" spans="1:11" x14ac:dyDescent="0.25">
      <c r="A98" s="22">
        <v>43</v>
      </c>
      <c r="B98" s="23">
        <v>45982</v>
      </c>
      <c r="C98" s="12" t="s">
        <v>20</v>
      </c>
      <c r="D98" s="12" t="s">
        <v>40</v>
      </c>
      <c r="E98" s="12" t="s">
        <v>24</v>
      </c>
      <c r="F98" s="12" t="s">
        <v>13</v>
      </c>
      <c r="G98" s="12" t="s">
        <v>14</v>
      </c>
      <c r="H98" s="24">
        <v>53.71</v>
      </c>
      <c r="I98" s="25">
        <v>18</v>
      </c>
      <c r="J98" s="26">
        <v>966.78</v>
      </c>
      <c r="K98" s="27" t="str">
        <f>TEXT(Table1[[#This Row],[Date]],"MMMM")</f>
        <v>November</v>
      </c>
    </row>
    <row r="99" spans="1:11" x14ac:dyDescent="0.25">
      <c r="A99" s="22">
        <v>308</v>
      </c>
      <c r="B99" s="23">
        <v>45988</v>
      </c>
      <c r="C99" s="12" t="s">
        <v>15</v>
      </c>
      <c r="D99" s="12" t="s">
        <v>40</v>
      </c>
      <c r="E99" s="12" t="s">
        <v>12</v>
      </c>
      <c r="F99" s="12" t="s">
        <v>13</v>
      </c>
      <c r="G99" s="12" t="s">
        <v>14</v>
      </c>
      <c r="H99" s="24">
        <v>95.2</v>
      </c>
      <c r="I99" s="25">
        <v>37</v>
      </c>
      <c r="J99" s="26">
        <v>3522.4</v>
      </c>
      <c r="K99" s="27" t="str">
        <f>TEXT(Table1[[#This Row],[Date]],"MMMM")</f>
        <v>November</v>
      </c>
    </row>
    <row r="100" spans="1:11" x14ac:dyDescent="0.25">
      <c r="A100" s="22">
        <v>497</v>
      </c>
      <c r="B100" s="23">
        <v>45997</v>
      </c>
      <c r="C100" s="12" t="s">
        <v>23</v>
      </c>
      <c r="D100" s="12" t="s">
        <v>40</v>
      </c>
      <c r="E100" s="12" t="s">
        <v>17</v>
      </c>
      <c r="F100" s="12" t="s">
        <v>13</v>
      </c>
      <c r="G100" s="12" t="s">
        <v>14</v>
      </c>
      <c r="H100" s="24">
        <v>82.77</v>
      </c>
      <c r="I100" s="25">
        <v>25</v>
      </c>
      <c r="J100" s="26">
        <v>2069.25</v>
      </c>
      <c r="K100" s="27" t="str">
        <f>TEXT(Table1[[#This Row],[Date]],"MMMM")</f>
        <v>December</v>
      </c>
    </row>
    <row r="101" spans="1:11" x14ac:dyDescent="0.25">
      <c r="A101" s="22">
        <v>251</v>
      </c>
      <c r="B101" s="23">
        <v>46011</v>
      </c>
      <c r="C101" s="12" t="s">
        <v>27</v>
      </c>
      <c r="D101" s="12" t="s">
        <v>40</v>
      </c>
      <c r="E101" s="12" t="s">
        <v>32</v>
      </c>
      <c r="F101" s="12" t="s">
        <v>13</v>
      </c>
      <c r="G101" s="12" t="s">
        <v>14</v>
      </c>
      <c r="H101" s="24">
        <v>28.45</v>
      </c>
      <c r="I101" s="25">
        <v>33</v>
      </c>
      <c r="J101" s="26">
        <v>938.85</v>
      </c>
      <c r="K101" s="27" t="str">
        <f>TEXT(Table1[[#This Row],[Date]],"MMMM")</f>
        <v>December</v>
      </c>
    </row>
    <row r="102" spans="1:11" x14ac:dyDescent="0.25">
      <c r="A102" s="22">
        <v>327</v>
      </c>
      <c r="B102" s="23">
        <v>45765</v>
      </c>
      <c r="C102" s="12" t="s">
        <v>15</v>
      </c>
      <c r="D102" s="12" t="s">
        <v>16</v>
      </c>
      <c r="E102" s="12" t="s">
        <v>39</v>
      </c>
      <c r="F102" s="12" t="s">
        <v>13</v>
      </c>
      <c r="G102" s="12" t="s">
        <v>14</v>
      </c>
      <c r="H102" s="24">
        <v>55.42</v>
      </c>
      <c r="I102" s="25">
        <v>19</v>
      </c>
      <c r="J102" s="26">
        <v>1052.98</v>
      </c>
      <c r="K102" s="27" t="str">
        <f>TEXT(Table1[[#This Row],[Date]],"MMMM")</f>
        <v>April</v>
      </c>
    </row>
    <row r="103" spans="1:11" x14ac:dyDescent="0.25">
      <c r="A103" s="22">
        <v>305</v>
      </c>
      <c r="B103" s="23">
        <v>45794</v>
      </c>
      <c r="C103" s="12" t="s">
        <v>28</v>
      </c>
      <c r="D103" s="12" t="s">
        <v>16</v>
      </c>
      <c r="E103" s="12" t="s">
        <v>39</v>
      </c>
      <c r="F103" s="12" t="s">
        <v>13</v>
      </c>
      <c r="G103" s="12" t="s">
        <v>14</v>
      </c>
      <c r="H103" s="24">
        <v>96.42</v>
      </c>
      <c r="I103" s="25">
        <v>6</v>
      </c>
      <c r="J103" s="26">
        <v>578.52</v>
      </c>
      <c r="K103" s="27" t="str">
        <f>TEXT(Table1[[#This Row],[Date]],"MMMM")</f>
        <v>May</v>
      </c>
    </row>
    <row r="104" spans="1:11" x14ac:dyDescent="0.25">
      <c r="A104" s="22">
        <v>443</v>
      </c>
      <c r="B104" s="23">
        <v>45977</v>
      </c>
      <c r="C104" s="12" t="s">
        <v>15</v>
      </c>
      <c r="D104" s="12" t="s">
        <v>16</v>
      </c>
      <c r="E104" s="12" t="s">
        <v>32</v>
      </c>
      <c r="F104" s="12" t="s">
        <v>13</v>
      </c>
      <c r="G104" s="12" t="s">
        <v>14</v>
      </c>
      <c r="H104" s="24">
        <v>72.569999999999993</v>
      </c>
      <c r="I104" s="25">
        <v>27</v>
      </c>
      <c r="J104" s="26">
        <v>1959.39</v>
      </c>
      <c r="K104" s="27" t="str">
        <f>TEXT(Table1[[#This Row],[Date]],"MMMM")</f>
        <v>November</v>
      </c>
    </row>
    <row r="105" spans="1:11" x14ac:dyDescent="0.25">
      <c r="A105" s="22">
        <v>314</v>
      </c>
      <c r="B105" s="23">
        <v>45753</v>
      </c>
      <c r="C105" s="12" t="s">
        <v>35</v>
      </c>
      <c r="D105" s="12" t="s">
        <v>26</v>
      </c>
      <c r="E105" s="12" t="s">
        <v>34</v>
      </c>
      <c r="F105" s="12" t="s">
        <v>13</v>
      </c>
      <c r="G105" s="12" t="s">
        <v>14</v>
      </c>
      <c r="H105" s="24">
        <v>83.16</v>
      </c>
      <c r="I105" s="25">
        <v>43</v>
      </c>
      <c r="J105" s="26">
        <v>3575.88</v>
      </c>
      <c r="K105" s="27" t="str">
        <f>TEXT(Table1[[#This Row],[Date]],"MMMM")</f>
        <v>April</v>
      </c>
    </row>
    <row r="106" spans="1:11" x14ac:dyDescent="0.25">
      <c r="A106" s="22">
        <v>396</v>
      </c>
      <c r="B106" s="23">
        <v>45825</v>
      </c>
      <c r="C106" s="12" t="s">
        <v>30</v>
      </c>
      <c r="D106" s="12" t="s">
        <v>26</v>
      </c>
      <c r="E106" s="12" t="s">
        <v>12</v>
      </c>
      <c r="F106" s="12" t="s">
        <v>13</v>
      </c>
      <c r="G106" s="12" t="s">
        <v>14</v>
      </c>
      <c r="H106" s="24">
        <v>41.58</v>
      </c>
      <c r="I106" s="25">
        <v>18</v>
      </c>
      <c r="J106" s="26">
        <v>748.44</v>
      </c>
      <c r="K106" s="27" t="str">
        <f>TEXT(Table1[[#This Row],[Date]],"MMMM")</f>
        <v>June</v>
      </c>
    </row>
    <row r="107" spans="1:11" x14ac:dyDescent="0.25">
      <c r="A107" s="22">
        <v>350</v>
      </c>
      <c r="B107" s="23">
        <v>45836</v>
      </c>
      <c r="C107" s="12" t="s">
        <v>27</v>
      </c>
      <c r="D107" s="12" t="s">
        <v>26</v>
      </c>
      <c r="E107" s="12" t="s">
        <v>12</v>
      </c>
      <c r="F107" s="12" t="s">
        <v>13</v>
      </c>
      <c r="G107" s="12" t="s">
        <v>14</v>
      </c>
      <c r="H107" s="24">
        <v>104.15</v>
      </c>
      <c r="I107" s="25">
        <v>6</v>
      </c>
      <c r="J107" s="26">
        <v>624.9</v>
      </c>
      <c r="K107" s="27" t="str">
        <f>TEXT(Table1[[#This Row],[Date]],"MMMM")</f>
        <v>June</v>
      </c>
    </row>
    <row r="108" spans="1:11" x14ac:dyDescent="0.25">
      <c r="A108" s="22">
        <v>211</v>
      </c>
      <c r="B108" s="23">
        <v>45923</v>
      </c>
      <c r="C108" s="12" t="s">
        <v>35</v>
      </c>
      <c r="D108" s="12" t="s">
        <v>26</v>
      </c>
      <c r="E108" s="12" t="s">
        <v>21</v>
      </c>
      <c r="F108" s="12" t="s">
        <v>13</v>
      </c>
      <c r="G108" s="12" t="s">
        <v>14</v>
      </c>
      <c r="H108" s="24">
        <v>35.67</v>
      </c>
      <c r="I108" s="25">
        <v>6</v>
      </c>
      <c r="J108" s="26">
        <v>214.02</v>
      </c>
      <c r="K108" s="27" t="str">
        <f>TEXT(Table1[[#This Row],[Date]],"MMMM")</f>
        <v>September</v>
      </c>
    </row>
    <row r="109" spans="1:11" x14ac:dyDescent="0.25">
      <c r="A109" s="22">
        <v>228</v>
      </c>
      <c r="B109" s="23">
        <v>46021</v>
      </c>
      <c r="C109" s="12" t="s">
        <v>10</v>
      </c>
      <c r="D109" s="12" t="s">
        <v>26</v>
      </c>
      <c r="E109" s="12" t="s">
        <v>34</v>
      </c>
      <c r="F109" s="12" t="s">
        <v>13</v>
      </c>
      <c r="G109" s="12" t="s">
        <v>14</v>
      </c>
      <c r="H109" s="24">
        <v>30.93</v>
      </c>
      <c r="I109" s="25">
        <v>34</v>
      </c>
      <c r="J109" s="26">
        <v>1051.6199999999999</v>
      </c>
      <c r="K109" s="27" t="str">
        <f>TEXT(Table1[[#This Row],[Date]],"MMMM")</f>
        <v>December</v>
      </c>
    </row>
    <row r="110" spans="1:11" x14ac:dyDescent="0.25">
      <c r="A110" s="22">
        <v>82</v>
      </c>
      <c r="B110" s="23">
        <v>45712</v>
      </c>
      <c r="C110" s="12" t="s">
        <v>27</v>
      </c>
      <c r="D110" s="12" t="s">
        <v>37</v>
      </c>
      <c r="E110" s="12" t="s">
        <v>21</v>
      </c>
      <c r="F110" s="12" t="s">
        <v>13</v>
      </c>
      <c r="G110" s="12" t="s">
        <v>14</v>
      </c>
      <c r="H110" s="24">
        <v>54.86</v>
      </c>
      <c r="I110" s="25">
        <v>24</v>
      </c>
      <c r="J110" s="26">
        <v>1316.64</v>
      </c>
      <c r="K110" s="27" t="str">
        <f>TEXT(Table1[[#This Row],[Date]],"MMMM")</f>
        <v>February</v>
      </c>
    </row>
    <row r="111" spans="1:11" x14ac:dyDescent="0.25">
      <c r="A111" s="22">
        <v>91</v>
      </c>
      <c r="B111" s="23">
        <v>45719</v>
      </c>
      <c r="C111" s="12" t="s">
        <v>15</v>
      </c>
      <c r="D111" s="12" t="s">
        <v>37</v>
      </c>
      <c r="E111" s="12" t="s">
        <v>12</v>
      </c>
      <c r="F111" s="12" t="s">
        <v>13</v>
      </c>
      <c r="G111" s="12" t="s">
        <v>14</v>
      </c>
      <c r="H111" s="24">
        <v>87.95</v>
      </c>
      <c r="I111" s="25">
        <v>21</v>
      </c>
      <c r="J111" s="26">
        <v>1846.95</v>
      </c>
      <c r="K111" s="27" t="str">
        <f>TEXT(Table1[[#This Row],[Date]],"MMMM")</f>
        <v>March</v>
      </c>
    </row>
    <row r="112" spans="1:11" x14ac:dyDescent="0.25">
      <c r="A112" s="22">
        <v>18</v>
      </c>
      <c r="B112" s="23">
        <v>45810</v>
      </c>
      <c r="C112" s="12" t="s">
        <v>30</v>
      </c>
      <c r="D112" s="12" t="s">
        <v>37</v>
      </c>
      <c r="E112" s="12" t="s">
        <v>24</v>
      </c>
      <c r="F112" s="12" t="s">
        <v>13</v>
      </c>
      <c r="G112" s="12" t="s">
        <v>14</v>
      </c>
      <c r="H112" s="24">
        <v>101.79</v>
      </c>
      <c r="I112" s="25">
        <v>33</v>
      </c>
      <c r="J112" s="26">
        <v>3359.07</v>
      </c>
      <c r="K112" s="27" t="str">
        <f>TEXT(Table1[[#This Row],[Date]],"MMMM")</f>
        <v>June</v>
      </c>
    </row>
    <row r="113" spans="1:11" x14ac:dyDescent="0.25">
      <c r="A113" s="22">
        <v>420</v>
      </c>
      <c r="B113" s="23">
        <v>45881</v>
      </c>
      <c r="C113" s="12" t="s">
        <v>28</v>
      </c>
      <c r="D113" s="12" t="s">
        <v>37</v>
      </c>
      <c r="E113" s="12" t="s">
        <v>24</v>
      </c>
      <c r="F113" s="12" t="s">
        <v>13</v>
      </c>
      <c r="G113" s="12" t="s">
        <v>14</v>
      </c>
      <c r="H113" s="24">
        <v>96.06</v>
      </c>
      <c r="I113" s="25">
        <v>32</v>
      </c>
      <c r="J113" s="26">
        <v>3073.92</v>
      </c>
      <c r="K113" s="27" t="str">
        <f>TEXT(Table1[[#This Row],[Date]],"MMMM")</f>
        <v>August</v>
      </c>
    </row>
    <row r="114" spans="1:11" x14ac:dyDescent="0.25">
      <c r="A114" s="22">
        <v>408</v>
      </c>
      <c r="B114" s="23">
        <v>45903</v>
      </c>
      <c r="C114" s="12" t="s">
        <v>35</v>
      </c>
      <c r="D114" s="12" t="s">
        <v>37</v>
      </c>
      <c r="E114" s="12" t="s">
        <v>21</v>
      </c>
      <c r="F114" s="12" t="s">
        <v>13</v>
      </c>
      <c r="G114" s="12" t="s">
        <v>14</v>
      </c>
      <c r="H114" s="24">
        <v>12.01</v>
      </c>
      <c r="I114" s="25">
        <v>18</v>
      </c>
      <c r="J114" s="26">
        <v>216.18</v>
      </c>
      <c r="K114" s="27" t="str">
        <f>TEXT(Table1[[#This Row],[Date]],"MMMM")</f>
        <v>September</v>
      </c>
    </row>
    <row r="115" spans="1:11" x14ac:dyDescent="0.25">
      <c r="A115" s="22">
        <v>71</v>
      </c>
      <c r="B115" s="23">
        <v>45906</v>
      </c>
      <c r="C115" s="12" t="s">
        <v>35</v>
      </c>
      <c r="D115" s="12" t="s">
        <v>37</v>
      </c>
      <c r="E115" s="12" t="s">
        <v>39</v>
      </c>
      <c r="F115" s="12" t="s">
        <v>13</v>
      </c>
      <c r="G115" s="12" t="s">
        <v>14</v>
      </c>
      <c r="H115" s="24">
        <v>8.34</v>
      </c>
      <c r="I115" s="25">
        <v>22</v>
      </c>
      <c r="J115" s="26">
        <v>183.48</v>
      </c>
      <c r="K115" s="27" t="str">
        <f>TEXT(Table1[[#This Row],[Date]],"MMMM")</f>
        <v>September</v>
      </c>
    </row>
    <row r="116" spans="1:11" x14ac:dyDescent="0.25">
      <c r="A116" s="22">
        <v>413</v>
      </c>
      <c r="B116" s="23">
        <v>45952</v>
      </c>
      <c r="C116" s="12" t="s">
        <v>28</v>
      </c>
      <c r="D116" s="12" t="s">
        <v>37</v>
      </c>
      <c r="E116" s="12" t="s">
        <v>32</v>
      </c>
      <c r="F116" s="12" t="s">
        <v>13</v>
      </c>
      <c r="G116" s="12" t="s">
        <v>14</v>
      </c>
      <c r="H116" s="24">
        <v>102.35</v>
      </c>
      <c r="I116" s="25">
        <v>25</v>
      </c>
      <c r="J116" s="26">
        <v>2558.75</v>
      </c>
      <c r="K116" s="27" t="str">
        <f>TEXT(Table1[[#This Row],[Date]],"MMMM")</f>
        <v>October</v>
      </c>
    </row>
    <row r="117" spans="1:11" x14ac:dyDescent="0.25">
      <c r="A117" s="22">
        <v>343</v>
      </c>
      <c r="B117" s="23">
        <v>45963</v>
      </c>
      <c r="C117" s="12" t="s">
        <v>35</v>
      </c>
      <c r="D117" s="12" t="s">
        <v>37</v>
      </c>
      <c r="E117" s="12" t="s">
        <v>39</v>
      </c>
      <c r="F117" s="12" t="s">
        <v>13</v>
      </c>
      <c r="G117" s="12" t="s">
        <v>14</v>
      </c>
      <c r="H117" s="24">
        <v>20.85</v>
      </c>
      <c r="I117" s="25">
        <v>25</v>
      </c>
      <c r="J117" s="26">
        <v>521.25</v>
      </c>
      <c r="K117" s="27" t="str">
        <f>TEXT(Table1[[#This Row],[Date]],"MMMM")</f>
        <v>November</v>
      </c>
    </row>
    <row r="118" spans="1:11" x14ac:dyDescent="0.25">
      <c r="A118" s="22">
        <v>354</v>
      </c>
      <c r="B118" s="23">
        <v>45993</v>
      </c>
      <c r="C118" s="12" t="s">
        <v>30</v>
      </c>
      <c r="D118" s="12" t="s">
        <v>37</v>
      </c>
      <c r="E118" s="12" t="s">
        <v>24</v>
      </c>
      <c r="F118" s="12" t="s">
        <v>13</v>
      </c>
      <c r="G118" s="12" t="s">
        <v>14</v>
      </c>
      <c r="H118" s="24">
        <v>19.59</v>
      </c>
      <c r="I118" s="25">
        <v>9</v>
      </c>
      <c r="J118" s="26">
        <v>176.31</v>
      </c>
      <c r="K118" s="27" t="str">
        <f>TEXT(Table1[[#This Row],[Date]],"MMMM")</f>
        <v>December</v>
      </c>
    </row>
    <row r="119" spans="1:11" x14ac:dyDescent="0.25">
      <c r="A119" s="22">
        <v>264</v>
      </c>
      <c r="B119" s="23">
        <v>45936</v>
      </c>
      <c r="C119" s="12" t="s">
        <v>27</v>
      </c>
      <c r="D119" s="12" t="s">
        <v>36</v>
      </c>
      <c r="E119" s="12" t="s">
        <v>12</v>
      </c>
      <c r="F119" s="12" t="s">
        <v>18</v>
      </c>
      <c r="G119" s="12" t="s">
        <v>22</v>
      </c>
      <c r="H119" s="24">
        <v>65.3</v>
      </c>
      <c r="I119" s="25">
        <v>9</v>
      </c>
      <c r="J119" s="26">
        <v>587.70000000000005</v>
      </c>
      <c r="K119" s="27" t="str">
        <f>TEXT(Table1[[#This Row],[Date]],"MMMM")</f>
        <v>October</v>
      </c>
    </row>
    <row r="120" spans="1:11" x14ac:dyDescent="0.25">
      <c r="A120" s="22">
        <v>240</v>
      </c>
      <c r="B120" s="23">
        <v>45963</v>
      </c>
      <c r="C120" s="12" t="s">
        <v>27</v>
      </c>
      <c r="D120" s="12" t="s">
        <v>36</v>
      </c>
      <c r="E120" s="12" t="s">
        <v>17</v>
      </c>
      <c r="F120" s="12" t="s">
        <v>18</v>
      </c>
      <c r="G120" s="12" t="s">
        <v>22</v>
      </c>
      <c r="H120" s="24">
        <v>106.47</v>
      </c>
      <c r="I120" s="25">
        <v>42</v>
      </c>
      <c r="J120" s="26">
        <v>4471.74</v>
      </c>
      <c r="K120" s="27" t="str">
        <f>TEXT(Table1[[#This Row],[Date]],"MMMM")</f>
        <v>November</v>
      </c>
    </row>
    <row r="121" spans="1:11" x14ac:dyDescent="0.25">
      <c r="A121" s="22">
        <v>80</v>
      </c>
      <c r="B121" s="23">
        <v>46011</v>
      </c>
      <c r="C121" s="12" t="s">
        <v>15</v>
      </c>
      <c r="D121" s="12" t="s">
        <v>36</v>
      </c>
      <c r="E121" s="12" t="s">
        <v>29</v>
      </c>
      <c r="F121" s="12" t="s">
        <v>18</v>
      </c>
      <c r="G121" s="12" t="s">
        <v>22</v>
      </c>
      <c r="H121" s="24">
        <v>100.52</v>
      </c>
      <c r="I121" s="25">
        <v>16</v>
      </c>
      <c r="J121" s="26">
        <v>1608.32</v>
      </c>
      <c r="K121" s="27" t="str">
        <f>TEXT(Table1[[#This Row],[Date]],"MMMM")</f>
        <v>December</v>
      </c>
    </row>
    <row r="122" spans="1:11" x14ac:dyDescent="0.25">
      <c r="A122" s="22">
        <v>362</v>
      </c>
      <c r="B122" s="23">
        <v>45705</v>
      </c>
      <c r="C122" s="12" t="s">
        <v>15</v>
      </c>
      <c r="D122" s="12" t="s">
        <v>31</v>
      </c>
      <c r="E122" s="12" t="s">
        <v>32</v>
      </c>
      <c r="F122" s="12" t="s">
        <v>18</v>
      </c>
      <c r="G122" s="12" t="s">
        <v>22</v>
      </c>
      <c r="H122" s="24">
        <v>80.28</v>
      </c>
      <c r="I122" s="25">
        <v>17</v>
      </c>
      <c r="J122" s="26">
        <v>1364.76</v>
      </c>
      <c r="K122" s="27" t="str">
        <f>TEXT(Table1[[#This Row],[Date]],"MMMM")</f>
        <v>February</v>
      </c>
    </row>
    <row r="123" spans="1:11" x14ac:dyDescent="0.25">
      <c r="A123" s="22">
        <v>429</v>
      </c>
      <c r="B123" s="23">
        <v>45740</v>
      </c>
      <c r="C123" s="12" t="s">
        <v>15</v>
      </c>
      <c r="D123" s="12" t="s">
        <v>31</v>
      </c>
      <c r="E123" s="12" t="s">
        <v>39</v>
      </c>
      <c r="F123" s="12" t="s">
        <v>18</v>
      </c>
      <c r="G123" s="12" t="s">
        <v>22</v>
      </c>
      <c r="H123" s="24">
        <v>89.18</v>
      </c>
      <c r="I123" s="25">
        <v>36</v>
      </c>
      <c r="J123" s="26">
        <v>3210.48</v>
      </c>
      <c r="K123" s="27" t="str">
        <f>TEXT(Table1[[#This Row],[Date]],"MMMM")</f>
        <v>March</v>
      </c>
    </row>
    <row r="124" spans="1:11" x14ac:dyDescent="0.25">
      <c r="A124" s="22">
        <v>344</v>
      </c>
      <c r="B124" s="23">
        <v>45743</v>
      </c>
      <c r="C124" s="12" t="s">
        <v>23</v>
      </c>
      <c r="D124" s="12" t="s">
        <v>31</v>
      </c>
      <c r="E124" s="12" t="s">
        <v>39</v>
      </c>
      <c r="F124" s="12" t="s">
        <v>18</v>
      </c>
      <c r="G124" s="12" t="s">
        <v>22</v>
      </c>
      <c r="H124" s="24">
        <v>61.31</v>
      </c>
      <c r="I124" s="25">
        <v>9</v>
      </c>
      <c r="J124" s="26">
        <v>551.79</v>
      </c>
      <c r="K124" s="27" t="str">
        <f>TEXT(Table1[[#This Row],[Date]],"MMMM")</f>
        <v>March</v>
      </c>
    </row>
    <row r="125" spans="1:11" x14ac:dyDescent="0.25">
      <c r="A125" s="22">
        <v>268</v>
      </c>
      <c r="B125" s="23">
        <v>45791</v>
      </c>
      <c r="C125" s="12" t="s">
        <v>10</v>
      </c>
      <c r="D125" s="12" t="s">
        <v>31</v>
      </c>
      <c r="E125" s="12" t="s">
        <v>34</v>
      </c>
      <c r="F125" s="12" t="s">
        <v>18</v>
      </c>
      <c r="G125" s="12" t="s">
        <v>22</v>
      </c>
      <c r="H125" s="24">
        <v>49.11</v>
      </c>
      <c r="I125" s="25">
        <v>29</v>
      </c>
      <c r="J125" s="26">
        <v>1424.19</v>
      </c>
      <c r="K125" s="27" t="str">
        <f>TEXT(Table1[[#This Row],[Date]],"MMMM")</f>
        <v>May</v>
      </c>
    </row>
    <row r="126" spans="1:11" x14ac:dyDescent="0.25">
      <c r="A126" s="22">
        <v>167</v>
      </c>
      <c r="B126" s="23">
        <v>45797</v>
      </c>
      <c r="C126" s="12" t="s">
        <v>15</v>
      </c>
      <c r="D126" s="12" t="s">
        <v>31</v>
      </c>
      <c r="E126" s="12" t="s">
        <v>21</v>
      </c>
      <c r="F126" s="12" t="s">
        <v>18</v>
      </c>
      <c r="G126" s="12" t="s">
        <v>22</v>
      </c>
      <c r="H126" s="24">
        <v>29.79</v>
      </c>
      <c r="I126" s="25">
        <v>33</v>
      </c>
      <c r="J126" s="26">
        <v>983.07</v>
      </c>
      <c r="K126" s="27" t="str">
        <f>TEXT(Table1[[#This Row],[Date]],"MMMM")</f>
        <v>May</v>
      </c>
    </row>
    <row r="127" spans="1:11" x14ac:dyDescent="0.25">
      <c r="A127" s="22">
        <v>424</v>
      </c>
      <c r="B127" s="23">
        <v>45835</v>
      </c>
      <c r="C127" s="12" t="s">
        <v>15</v>
      </c>
      <c r="D127" s="12" t="s">
        <v>31</v>
      </c>
      <c r="E127" s="12" t="s">
        <v>39</v>
      </c>
      <c r="F127" s="12" t="s">
        <v>18</v>
      </c>
      <c r="G127" s="12" t="s">
        <v>22</v>
      </c>
      <c r="H127" s="24">
        <v>117.97</v>
      </c>
      <c r="I127" s="25">
        <v>11</v>
      </c>
      <c r="J127" s="26">
        <v>1297.67</v>
      </c>
      <c r="K127" s="27" t="str">
        <f>TEXT(Table1[[#This Row],[Date]],"MMMM")</f>
        <v>June</v>
      </c>
    </row>
    <row r="128" spans="1:11" x14ac:dyDescent="0.25">
      <c r="A128" s="22">
        <v>334</v>
      </c>
      <c r="B128" s="23">
        <v>45891</v>
      </c>
      <c r="C128" s="12" t="s">
        <v>27</v>
      </c>
      <c r="D128" s="12" t="s">
        <v>31</v>
      </c>
      <c r="E128" s="12" t="s">
        <v>39</v>
      </c>
      <c r="F128" s="12" t="s">
        <v>18</v>
      </c>
      <c r="G128" s="12" t="s">
        <v>22</v>
      </c>
      <c r="H128" s="24">
        <v>95.19</v>
      </c>
      <c r="I128" s="25">
        <v>34</v>
      </c>
      <c r="J128" s="26">
        <v>3236.46</v>
      </c>
      <c r="K128" s="27" t="str">
        <f>TEXT(Table1[[#This Row],[Date]],"MMMM")</f>
        <v>August</v>
      </c>
    </row>
    <row r="129" spans="1:11" x14ac:dyDescent="0.25">
      <c r="A129" s="22">
        <v>374</v>
      </c>
      <c r="B129" s="23">
        <v>45666</v>
      </c>
      <c r="C129" s="12" t="s">
        <v>10</v>
      </c>
      <c r="D129" s="12" t="s">
        <v>11</v>
      </c>
      <c r="E129" s="12" t="s">
        <v>17</v>
      </c>
      <c r="F129" s="12" t="s">
        <v>18</v>
      </c>
      <c r="G129" s="12" t="s">
        <v>22</v>
      </c>
      <c r="H129" s="24">
        <v>72.55</v>
      </c>
      <c r="I129" s="25">
        <v>1</v>
      </c>
      <c r="J129" s="26">
        <v>72.55</v>
      </c>
      <c r="K129" s="27" t="str">
        <f>TEXT(Table1[[#This Row],[Date]],"MMMM")</f>
        <v>January</v>
      </c>
    </row>
    <row r="130" spans="1:11" x14ac:dyDescent="0.25">
      <c r="A130" s="22">
        <v>280</v>
      </c>
      <c r="B130" s="23">
        <v>45749</v>
      </c>
      <c r="C130" s="12" t="s">
        <v>23</v>
      </c>
      <c r="D130" s="12" t="s">
        <v>11</v>
      </c>
      <c r="E130" s="12" t="s">
        <v>17</v>
      </c>
      <c r="F130" s="12" t="s">
        <v>18</v>
      </c>
      <c r="G130" s="12" t="s">
        <v>22</v>
      </c>
      <c r="H130" s="24">
        <v>119.18</v>
      </c>
      <c r="I130" s="25">
        <v>26</v>
      </c>
      <c r="J130" s="26">
        <v>3098.68</v>
      </c>
      <c r="K130" s="27" t="str">
        <f>TEXT(Table1[[#This Row],[Date]],"MMMM")</f>
        <v>April</v>
      </c>
    </row>
    <row r="131" spans="1:11" x14ac:dyDescent="0.25">
      <c r="A131" s="22">
        <v>146</v>
      </c>
      <c r="B131" s="23">
        <v>45755</v>
      </c>
      <c r="C131" s="12" t="s">
        <v>15</v>
      </c>
      <c r="D131" s="12" t="s">
        <v>11</v>
      </c>
      <c r="E131" s="12" t="s">
        <v>17</v>
      </c>
      <c r="F131" s="12" t="s">
        <v>18</v>
      </c>
      <c r="G131" s="12" t="s">
        <v>22</v>
      </c>
      <c r="H131" s="24">
        <v>116.34</v>
      </c>
      <c r="I131" s="25">
        <v>30</v>
      </c>
      <c r="J131" s="26">
        <v>3490.2</v>
      </c>
      <c r="K131" s="27" t="str">
        <f>TEXT(Table1[[#This Row],[Date]],"MMMM")</f>
        <v>April</v>
      </c>
    </row>
    <row r="132" spans="1:11" x14ac:dyDescent="0.25">
      <c r="A132" s="22">
        <v>46</v>
      </c>
      <c r="B132" s="23">
        <v>45844</v>
      </c>
      <c r="C132" s="12" t="s">
        <v>28</v>
      </c>
      <c r="D132" s="12" t="s">
        <v>11</v>
      </c>
      <c r="E132" s="12" t="s">
        <v>12</v>
      </c>
      <c r="F132" s="12" t="s">
        <v>18</v>
      </c>
      <c r="G132" s="12" t="s">
        <v>22</v>
      </c>
      <c r="H132" s="24">
        <v>108.38</v>
      </c>
      <c r="I132" s="25">
        <v>3</v>
      </c>
      <c r="J132" s="26">
        <v>325.14</v>
      </c>
      <c r="K132" s="27" t="str">
        <f>TEXT(Table1[[#This Row],[Date]],"MMMM")</f>
        <v>July</v>
      </c>
    </row>
    <row r="133" spans="1:11" x14ac:dyDescent="0.25">
      <c r="A133" s="22">
        <v>390</v>
      </c>
      <c r="B133" s="23">
        <v>45910</v>
      </c>
      <c r="C133" s="12" t="s">
        <v>30</v>
      </c>
      <c r="D133" s="12" t="s">
        <v>11</v>
      </c>
      <c r="E133" s="12" t="s">
        <v>32</v>
      </c>
      <c r="F133" s="12" t="s">
        <v>18</v>
      </c>
      <c r="G133" s="12" t="s">
        <v>22</v>
      </c>
      <c r="H133" s="24">
        <v>119.75</v>
      </c>
      <c r="I133" s="25">
        <v>50</v>
      </c>
      <c r="J133" s="26">
        <v>5987.5</v>
      </c>
      <c r="K133" s="27" t="str">
        <f>TEXT(Table1[[#This Row],[Date]],"MMMM")</f>
        <v>September</v>
      </c>
    </row>
    <row r="134" spans="1:11" x14ac:dyDescent="0.25">
      <c r="A134" s="22">
        <v>494</v>
      </c>
      <c r="B134" s="23">
        <v>45672</v>
      </c>
      <c r="C134" s="12" t="s">
        <v>23</v>
      </c>
      <c r="D134" s="12" t="s">
        <v>38</v>
      </c>
      <c r="E134" s="12" t="s">
        <v>39</v>
      </c>
      <c r="F134" s="12" t="s">
        <v>18</v>
      </c>
      <c r="G134" s="12" t="s">
        <v>22</v>
      </c>
      <c r="H134" s="24">
        <v>104.2</v>
      </c>
      <c r="I134" s="25">
        <v>47</v>
      </c>
      <c r="J134" s="26">
        <v>4897.3999999999996</v>
      </c>
      <c r="K134" s="27" t="str">
        <f>TEXT(Table1[[#This Row],[Date]],"MMMM")</f>
        <v>January</v>
      </c>
    </row>
    <row r="135" spans="1:11" x14ac:dyDescent="0.25">
      <c r="A135" s="22">
        <v>160</v>
      </c>
      <c r="B135" s="23">
        <v>45711</v>
      </c>
      <c r="C135" s="12" t="s">
        <v>23</v>
      </c>
      <c r="D135" s="12" t="s">
        <v>38</v>
      </c>
      <c r="E135" s="12" t="s">
        <v>12</v>
      </c>
      <c r="F135" s="12" t="s">
        <v>18</v>
      </c>
      <c r="G135" s="12" t="s">
        <v>22</v>
      </c>
      <c r="H135" s="24">
        <v>71.459999999999994</v>
      </c>
      <c r="I135" s="25">
        <v>14</v>
      </c>
      <c r="J135" s="26">
        <v>1000.44</v>
      </c>
      <c r="K135" s="27" t="str">
        <f>TEXT(Table1[[#This Row],[Date]],"MMMM")</f>
        <v>February</v>
      </c>
    </row>
    <row r="136" spans="1:11" x14ac:dyDescent="0.25">
      <c r="A136" s="22">
        <v>173</v>
      </c>
      <c r="B136" s="23">
        <v>45716</v>
      </c>
      <c r="C136" s="12" t="s">
        <v>23</v>
      </c>
      <c r="D136" s="12" t="s">
        <v>38</v>
      </c>
      <c r="E136" s="12" t="s">
        <v>24</v>
      </c>
      <c r="F136" s="12" t="s">
        <v>18</v>
      </c>
      <c r="G136" s="12" t="s">
        <v>22</v>
      </c>
      <c r="H136" s="24">
        <v>51.58</v>
      </c>
      <c r="I136" s="25">
        <v>21</v>
      </c>
      <c r="J136" s="26">
        <v>1083.18</v>
      </c>
      <c r="K136" s="27" t="str">
        <f>TEXT(Table1[[#This Row],[Date]],"MMMM")</f>
        <v>February</v>
      </c>
    </row>
    <row r="137" spans="1:11" x14ac:dyDescent="0.25">
      <c r="A137" s="22">
        <v>152</v>
      </c>
      <c r="B137" s="23">
        <v>45771</v>
      </c>
      <c r="C137" s="12" t="s">
        <v>10</v>
      </c>
      <c r="D137" s="12" t="s">
        <v>38</v>
      </c>
      <c r="E137" s="12" t="s">
        <v>17</v>
      </c>
      <c r="F137" s="12" t="s">
        <v>18</v>
      </c>
      <c r="G137" s="12" t="s">
        <v>22</v>
      </c>
      <c r="H137" s="24">
        <v>113.72</v>
      </c>
      <c r="I137" s="25">
        <v>3</v>
      </c>
      <c r="J137" s="26">
        <v>341.16</v>
      </c>
      <c r="K137" s="27" t="str">
        <f>TEXT(Table1[[#This Row],[Date]],"MMMM")</f>
        <v>April</v>
      </c>
    </row>
    <row r="138" spans="1:11" x14ac:dyDescent="0.25">
      <c r="A138" s="22">
        <v>104</v>
      </c>
      <c r="B138" s="23">
        <v>45813</v>
      </c>
      <c r="C138" s="12" t="s">
        <v>27</v>
      </c>
      <c r="D138" s="12" t="s">
        <v>38</v>
      </c>
      <c r="E138" s="12" t="s">
        <v>29</v>
      </c>
      <c r="F138" s="12" t="s">
        <v>18</v>
      </c>
      <c r="G138" s="12" t="s">
        <v>22</v>
      </c>
      <c r="H138" s="24">
        <v>85.47</v>
      </c>
      <c r="I138" s="25">
        <v>18</v>
      </c>
      <c r="J138" s="26">
        <v>1538.46</v>
      </c>
      <c r="K138" s="27" t="str">
        <f>TEXT(Table1[[#This Row],[Date]],"MMMM")</f>
        <v>June</v>
      </c>
    </row>
    <row r="139" spans="1:11" x14ac:dyDescent="0.25">
      <c r="A139" s="22">
        <v>153</v>
      </c>
      <c r="B139" s="23">
        <v>45863</v>
      </c>
      <c r="C139" s="12" t="s">
        <v>27</v>
      </c>
      <c r="D139" s="12" t="s">
        <v>38</v>
      </c>
      <c r="E139" s="12" t="s">
        <v>29</v>
      </c>
      <c r="F139" s="12" t="s">
        <v>18</v>
      </c>
      <c r="G139" s="12" t="s">
        <v>22</v>
      </c>
      <c r="H139" s="24">
        <v>54.02</v>
      </c>
      <c r="I139" s="25">
        <v>7</v>
      </c>
      <c r="J139" s="26">
        <v>378.14</v>
      </c>
      <c r="K139" s="27" t="str">
        <f>TEXT(Table1[[#This Row],[Date]],"MMMM")</f>
        <v>July</v>
      </c>
    </row>
    <row r="140" spans="1:11" x14ac:dyDescent="0.25">
      <c r="A140" s="22">
        <v>19</v>
      </c>
      <c r="B140" s="23">
        <v>45929</v>
      </c>
      <c r="C140" s="12" t="s">
        <v>28</v>
      </c>
      <c r="D140" s="12" t="s">
        <v>38</v>
      </c>
      <c r="E140" s="12" t="s">
        <v>17</v>
      </c>
      <c r="F140" s="12" t="s">
        <v>18</v>
      </c>
      <c r="G140" s="12" t="s">
        <v>22</v>
      </c>
      <c r="H140" s="24">
        <v>110.63</v>
      </c>
      <c r="I140" s="25">
        <v>39</v>
      </c>
      <c r="J140" s="26">
        <v>4314.57</v>
      </c>
      <c r="K140" s="27" t="str">
        <f>TEXT(Table1[[#This Row],[Date]],"MMMM")</f>
        <v>September</v>
      </c>
    </row>
    <row r="141" spans="1:11" x14ac:dyDescent="0.25">
      <c r="A141" s="22">
        <v>63</v>
      </c>
      <c r="B141" s="23">
        <v>45770</v>
      </c>
      <c r="C141" s="12" t="s">
        <v>27</v>
      </c>
      <c r="D141" s="12" t="s">
        <v>40</v>
      </c>
      <c r="E141" s="12" t="s">
        <v>12</v>
      </c>
      <c r="F141" s="12" t="s">
        <v>18</v>
      </c>
      <c r="G141" s="12" t="s">
        <v>22</v>
      </c>
      <c r="H141" s="24">
        <v>25.23</v>
      </c>
      <c r="I141" s="25">
        <v>45</v>
      </c>
      <c r="J141" s="26">
        <v>1135.3499999999999</v>
      </c>
      <c r="K141" s="27" t="str">
        <f>TEXT(Table1[[#This Row],[Date]],"MMMM")</f>
        <v>April</v>
      </c>
    </row>
    <row r="142" spans="1:11" x14ac:dyDescent="0.25">
      <c r="A142" s="22">
        <v>184</v>
      </c>
      <c r="B142" s="23">
        <v>45802</v>
      </c>
      <c r="C142" s="12" t="s">
        <v>28</v>
      </c>
      <c r="D142" s="12" t="s">
        <v>40</v>
      </c>
      <c r="E142" s="12" t="s">
        <v>24</v>
      </c>
      <c r="F142" s="12" t="s">
        <v>18</v>
      </c>
      <c r="G142" s="12" t="s">
        <v>22</v>
      </c>
      <c r="H142" s="24">
        <v>49.55</v>
      </c>
      <c r="I142" s="25">
        <v>50</v>
      </c>
      <c r="J142" s="26">
        <v>2477.5</v>
      </c>
      <c r="K142" s="27" t="str">
        <f>TEXT(Table1[[#This Row],[Date]],"MMMM")</f>
        <v>May</v>
      </c>
    </row>
    <row r="143" spans="1:11" x14ac:dyDescent="0.25">
      <c r="A143" s="22">
        <v>256</v>
      </c>
      <c r="B143" s="23">
        <v>45834</v>
      </c>
      <c r="C143" s="12" t="s">
        <v>10</v>
      </c>
      <c r="D143" s="12" t="s">
        <v>40</v>
      </c>
      <c r="E143" s="12" t="s">
        <v>34</v>
      </c>
      <c r="F143" s="12" t="s">
        <v>18</v>
      </c>
      <c r="G143" s="12" t="s">
        <v>22</v>
      </c>
      <c r="H143" s="24">
        <v>114.78</v>
      </c>
      <c r="I143" s="25">
        <v>10</v>
      </c>
      <c r="J143" s="26">
        <v>1147.8</v>
      </c>
      <c r="K143" s="27" t="str">
        <f>TEXT(Table1[[#This Row],[Date]],"MMMM")</f>
        <v>June</v>
      </c>
    </row>
    <row r="144" spans="1:11" x14ac:dyDescent="0.25">
      <c r="A144" s="22">
        <v>179</v>
      </c>
      <c r="B144" s="23">
        <v>45898</v>
      </c>
      <c r="C144" s="12" t="s">
        <v>10</v>
      </c>
      <c r="D144" s="12" t="s">
        <v>40</v>
      </c>
      <c r="E144" s="12" t="s">
        <v>24</v>
      </c>
      <c r="F144" s="12" t="s">
        <v>18</v>
      </c>
      <c r="G144" s="12" t="s">
        <v>22</v>
      </c>
      <c r="H144" s="24">
        <v>55.85</v>
      </c>
      <c r="I144" s="25">
        <v>20</v>
      </c>
      <c r="J144" s="26">
        <v>1117</v>
      </c>
      <c r="K144" s="27" t="str">
        <f>TEXT(Table1[[#This Row],[Date]],"MMMM")</f>
        <v>August</v>
      </c>
    </row>
    <row r="145" spans="1:11" x14ac:dyDescent="0.25">
      <c r="A145" s="22">
        <v>335</v>
      </c>
      <c r="B145" s="23">
        <v>46014</v>
      </c>
      <c r="C145" s="12" t="s">
        <v>10</v>
      </c>
      <c r="D145" s="12" t="s">
        <v>40</v>
      </c>
      <c r="E145" s="12" t="s">
        <v>29</v>
      </c>
      <c r="F145" s="12" t="s">
        <v>18</v>
      </c>
      <c r="G145" s="12" t="s">
        <v>22</v>
      </c>
      <c r="H145" s="24">
        <v>57.03</v>
      </c>
      <c r="I145" s="25">
        <v>5</v>
      </c>
      <c r="J145" s="26">
        <v>285.14999999999998</v>
      </c>
      <c r="K145" s="27" t="str">
        <f>TEXT(Table1[[#This Row],[Date]],"MMMM")</f>
        <v>December</v>
      </c>
    </row>
    <row r="146" spans="1:11" x14ac:dyDescent="0.25">
      <c r="A146" s="22">
        <v>394</v>
      </c>
      <c r="B146" s="23">
        <v>45701</v>
      </c>
      <c r="C146" s="12" t="s">
        <v>23</v>
      </c>
      <c r="D146" s="12" t="s">
        <v>16</v>
      </c>
      <c r="E146" s="12" t="s">
        <v>29</v>
      </c>
      <c r="F146" s="12" t="s">
        <v>18</v>
      </c>
      <c r="G146" s="12" t="s">
        <v>22</v>
      </c>
      <c r="H146" s="24">
        <v>71.790000000000006</v>
      </c>
      <c r="I146" s="25">
        <v>33</v>
      </c>
      <c r="J146" s="26">
        <v>2369.0700000000002</v>
      </c>
      <c r="K146" s="27" t="str">
        <f>TEXT(Table1[[#This Row],[Date]],"MMMM")</f>
        <v>February</v>
      </c>
    </row>
    <row r="147" spans="1:11" x14ac:dyDescent="0.25">
      <c r="A147" s="22">
        <v>241</v>
      </c>
      <c r="B147" s="23">
        <v>45726</v>
      </c>
      <c r="C147" s="12" t="s">
        <v>28</v>
      </c>
      <c r="D147" s="12" t="s">
        <v>16</v>
      </c>
      <c r="E147" s="12" t="s">
        <v>24</v>
      </c>
      <c r="F147" s="12" t="s">
        <v>18</v>
      </c>
      <c r="G147" s="12" t="s">
        <v>22</v>
      </c>
      <c r="H147" s="24">
        <v>106.48</v>
      </c>
      <c r="I147" s="25">
        <v>47</v>
      </c>
      <c r="J147" s="26">
        <v>5004.5600000000004</v>
      </c>
      <c r="K147" s="27" t="str">
        <f>TEXT(Table1[[#This Row],[Date]],"MMMM")</f>
        <v>March</v>
      </c>
    </row>
    <row r="148" spans="1:11" x14ac:dyDescent="0.25">
      <c r="A148" s="22">
        <v>45</v>
      </c>
      <c r="B148" s="23">
        <v>45734</v>
      </c>
      <c r="C148" s="12" t="s">
        <v>23</v>
      </c>
      <c r="D148" s="12" t="s">
        <v>16</v>
      </c>
      <c r="E148" s="12" t="s">
        <v>32</v>
      </c>
      <c r="F148" s="12" t="s">
        <v>18</v>
      </c>
      <c r="G148" s="12" t="s">
        <v>22</v>
      </c>
      <c r="H148" s="24">
        <v>67.739999999999995</v>
      </c>
      <c r="I148" s="25">
        <v>24</v>
      </c>
      <c r="J148" s="26">
        <v>1625.76</v>
      </c>
      <c r="K148" s="27" t="str">
        <f>TEXT(Table1[[#This Row],[Date]],"MMMM")</f>
        <v>March</v>
      </c>
    </row>
    <row r="149" spans="1:11" x14ac:dyDescent="0.25">
      <c r="A149" s="22">
        <v>499</v>
      </c>
      <c r="B149" s="23">
        <v>45800</v>
      </c>
      <c r="C149" s="12" t="s">
        <v>35</v>
      </c>
      <c r="D149" s="12" t="s">
        <v>16</v>
      </c>
      <c r="E149" s="12" t="s">
        <v>12</v>
      </c>
      <c r="F149" s="12" t="s">
        <v>18</v>
      </c>
      <c r="G149" s="12" t="s">
        <v>22</v>
      </c>
      <c r="H149" s="24">
        <v>10.79</v>
      </c>
      <c r="I149" s="25">
        <v>15</v>
      </c>
      <c r="J149" s="26">
        <v>161.85</v>
      </c>
      <c r="K149" s="27" t="str">
        <f>TEXT(Table1[[#This Row],[Date]],"MMMM")</f>
        <v>May</v>
      </c>
    </row>
    <row r="150" spans="1:11" x14ac:dyDescent="0.25">
      <c r="A150" s="22">
        <v>328</v>
      </c>
      <c r="B150" s="23">
        <v>45813</v>
      </c>
      <c r="C150" s="12" t="s">
        <v>23</v>
      </c>
      <c r="D150" s="12" t="s">
        <v>16</v>
      </c>
      <c r="E150" s="12" t="s">
        <v>21</v>
      </c>
      <c r="F150" s="12" t="s">
        <v>18</v>
      </c>
      <c r="G150" s="12" t="s">
        <v>22</v>
      </c>
      <c r="H150" s="24">
        <v>32.83</v>
      </c>
      <c r="I150" s="25">
        <v>43</v>
      </c>
      <c r="J150" s="26">
        <v>1411.69</v>
      </c>
      <c r="K150" s="27" t="str">
        <f>TEXT(Table1[[#This Row],[Date]],"MMMM")</f>
        <v>June</v>
      </c>
    </row>
    <row r="151" spans="1:11" x14ac:dyDescent="0.25">
      <c r="A151" s="22">
        <v>405</v>
      </c>
      <c r="B151" s="23">
        <v>45894</v>
      </c>
      <c r="C151" s="12" t="s">
        <v>35</v>
      </c>
      <c r="D151" s="12" t="s">
        <v>16</v>
      </c>
      <c r="E151" s="12" t="s">
        <v>39</v>
      </c>
      <c r="F151" s="12" t="s">
        <v>18</v>
      </c>
      <c r="G151" s="12" t="s">
        <v>22</v>
      </c>
      <c r="H151" s="24">
        <v>10.82</v>
      </c>
      <c r="I151" s="25">
        <v>37</v>
      </c>
      <c r="J151" s="26">
        <v>400.34</v>
      </c>
      <c r="K151" s="27" t="str">
        <f>TEXT(Table1[[#This Row],[Date]],"MMMM")</f>
        <v>August</v>
      </c>
    </row>
    <row r="152" spans="1:11" x14ac:dyDescent="0.25">
      <c r="A152" s="22">
        <v>483</v>
      </c>
      <c r="B152" s="23">
        <v>45924</v>
      </c>
      <c r="C152" s="12" t="s">
        <v>23</v>
      </c>
      <c r="D152" s="12" t="s">
        <v>16</v>
      </c>
      <c r="E152" s="12" t="s">
        <v>29</v>
      </c>
      <c r="F152" s="12" t="s">
        <v>18</v>
      </c>
      <c r="G152" s="12" t="s">
        <v>22</v>
      </c>
      <c r="H152" s="24">
        <v>36.049999999999997</v>
      </c>
      <c r="I152" s="25">
        <v>39</v>
      </c>
      <c r="J152" s="26">
        <v>1405.95</v>
      </c>
      <c r="K152" s="27" t="str">
        <f>TEXT(Table1[[#This Row],[Date]],"MMMM")</f>
        <v>September</v>
      </c>
    </row>
    <row r="153" spans="1:11" x14ac:dyDescent="0.25">
      <c r="A153" s="22">
        <v>186</v>
      </c>
      <c r="B153" s="23">
        <v>45956</v>
      </c>
      <c r="C153" s="12" t="s">
        <v>10</v>
      </c>
      <c r="D153" s="12" t="s">
        <v>16</v>
      </c>
      <c r="E153" s="12" t="s">
        <v>32</v>
      </c>
      <c r="F153" s="12" t="s">
        <v>18</v>
      </c>
      <c r="G153" s="12" t="s">
        <v>22</v>
      </c>
      <c r="H153" s="24">
        <v>81.319999999999993</v>
      </c>
      <c r="I153" s="25">
        <v>23</v>
      </c>
      <c r="J153" s="26">
        <v>1870.36</v>
      </c>
      <c r="K153" s="27" t="str">
        <f>TEXT(Table1[[#This Row],[Date]],"MMMM")</f>
        <v>October</v>
      </c>
    </row>
    <row r="154" spans="1:11" x14ac:dyDescent="0.25">
      <c r="A154" s="22">
        <v>456</v>
      </c>
      <c r="B154" s="23">
        <v>45989</v>
      </c>
      <c r="C154" s="12" t="s">
        <v>10</v>
      </c>
      <c r="D154" s="12" t="s">
        <v>16</v>
      </c>
      <c r="E154" s="12" t="s">
        <v>17</v>
      </c>
      <c r="F154" s="12" t="s">
        <v>18</v>
      </c>
      <c r="G154" s="12" t="s">
        <v>22</v>
      </c>
      <c r="H154" s="24">
        <v>30.89</v>
      </c>
      <c r="I154" s="25">
        <v>14</v>
      </c>
      <c r="J154" s="26">
        <v>432.46</v>
      </c>
      <c r="K154" s="27" t="str">
        <f>TEXT(Table1[[#This Row],[Date]],"MMMM")</f>
        <v>November</v>
      </c>
    </row>
    <row r="155" spans="1:11" x14ac:dyDescent="0.25">
      <c r="A155" s="22">
        <v>317</v>
      </c>
      <c r="B155" s="23">
        <v>45702</v>
      </c>
      <c r="C155" s="12" t="s">
        <v>35</v>
      </c>
      <c r="D155" s="12" t="s">
        <v>26</v>
      </c>
      <c r="E155" s="12" t="s">
        <v>17</v>
      </c>
      <c r="F155" s="12" t="s">
        <v>18</v>
      </c>
      <c r="G155" s="12" t="s">
        <v>22</v>
      </c>
      <c r="H155" s="24">
        <v>26.55</v>
      </c>
      <c r="I155" s="25">
        <v>29</v>
      </c>
      <c r="J155" s="26">
        <v>769.95</v>
      </c>
      <c r="K155" s="27" t="str">
        <f>TEXT(Table1[[#This Row],[Date]],"MMMM")</f>
        <v>February</v>
      </c>
    </row>
    <row r="156" spans="1:11" x14ac:dyDescent="0.25">
      <c r="A156" s="22">
        <v>479</v>
      </c>
      <c r="B156" s="23">
        <v>45725</v>
      </c>
      <c r="C156" s="12" t="s">
        <v>23</v>
      </c>
      <c r="D156" s="12" t="s">
        <v>26</v>
      </c>
      <c r="E156" s="12" t="s">
        <v>24</v>
      </c>
      <c r="F156" s="12" t="s">
        <v>18</v>
      </c>
      <c r="G156" s="12" t="s">
        <v>22</v>
      </c>
      <c r="H156" s="24">
        <v>29.29</v>
      </c>
      <c r="I156" s="25">
        <v>2</v>
      </c>
      <c r="J156" s="26">
        <v>58.58</v>
      </c>
      <c r="K156" s="27" t="str">
        <f>TEXT(Table1[[#This Row],[Date]],"MMMM")</f>
        <v>March</v>
      </c>
    </row>
    <row r="157" spans="1:11" x14ac:dyDescent="0.25">
      <c r="A157" s="22">
        <v>5</v>
      </c>
      <c r="B157" s="23">
        <v>45768</v>
      </c>
      <c r="C157" s="12" t="s">
        <v>15</v>
      </c>
      <c r="D157" s="12" t="s">
        <v>26</v>
      </c>
      <c r="E157" s="12" t="s">
        <v>21</v>
      </c>
      <c r="F157" s="12" t="s">
        <v>18</v>
      </c>
      <c r="G157" s="12" t="s">
        <v>22</v>
      </c>
      <c r="H157" s="24">
        <v>115.08</v>
      </c>
      <c r="I157" s="25">
        <v>22</v>
      </c>
      <c r="J157" s="26">
        <v>2531.7600000000002</v>
      </c>
      <c r="K157" s="27" t="str">
        <f>TEXT(Table1[[#This Row],[Date]],"MMMM")</f>
        <v>April</v>
      </c>
    </row>
    <row r="158" spans="1:11" x14ac:dyDescent="0.25">
      <c r="A158" s="22">
        <v>460</v>
      </c>
      <c r="B158" s="23">
        <v>45989</v>
      </c>
      <c r="C158" s="12" t="s">
        <v>10</v>
      </c>
      <c r="D158" s="12" t="s">
        <v>26</v>
      </c>
      <c r="E158" s="12" t="s">
        <v>39</v>
      </c>
      <c r="F158" s="12" t="s">
        <v>18</v>
      </c>
      <c r="G158" s="12" t="s">
        <v>22</v>
      </c>
      <c r="H158" s="24">
        <v>73.28</v>
      </c>
      <c r="I158" s="25">
        <v>19</v>
      </c>
      <c r="J158" s="26">
        <v>1392.32</v>
      </c>
      <c r="K158" s="27" t="str">
        <f>TEXT(Table1[[#This Row],[Date]],"MMMM")</f>
        <v>November</v>
      </c>
    </row>
    <row r="159" spans="1:11" x14ac:dyDescent="0.25">
      <c r="A159" s="22">
        <v>138</v>
      </c>
      <c r="B159" s="23">
        <v>46004</v>
      </c>
      <c r="C159" s="12" t="s">
        <v>28</v>
      </c>
      <c r="D159" s="12" t="s">
        <v>26</v>
      </c>
      <c r="E159" s="12" t="s">
        <v>21</v>
      </c>
      <c r="F159" s="12" t="s">
        <v>18</v>
      </c>
      <c r="G159" s="12" t="s">
        <v>22</v>
      </c>
      <c r="H159" s="24">
        <v>88.28</v>
      </c>
      <c r="I159" s="25">
        <v>26</v>
      </c>
      <c r="J159" s="26">
        <v>2295.2800000000002</v>
      </c>
      <c r="K159" s="27" t="str">
        <f>TEXT(Table1[[#This Row],[Date]],"MMMM")</f>
        <v>December</v>
      </c>
    </row>
    <row r="160" spans="1:11" x14ac:dyDescent="0.25">
      <c r="A160" s="22">
        <v>171</v>
      </c>
      <c r="B160" s="23">
        <v>46018</v>
      </c>
      <c r="C160" s="12" t="s">
        <v>28</v>
      </c>
      <c r="D160" s="12" t="s">
        <v>26</v>
      </c>
      <c r="E160" s="12" t="s">
        <v>21</v>
      </c>
      <c r="F160" s="12" t="s">
        <v>18</v>
      </c>
      <c r="G160" s="12" t="s">
        <v>22</v>
      </c>
      <c r="H160" s="24">
        <v>31.46</v>
      </c>
      <c r="I160" s="25">
        <v>36</v>
      </c>
      <c r="J160" s="26">
        <v>1132.56</v>
      </c>
      <c r="K160" s="27" t="str">
        <f>TEXT(Table1[[#This Row],[Date]],"MMMM")</f>
        <v>December</v>
      </c>
    </row>
    <row r="161" spans="1:11" x14ac:dyDescent="0.25">
      <c r="A161" s="22">
        <v>67</v>
      </c>
      <c r="B161" s="23">
        <v>45699</v>
      </c>
      <c r="C161" s="12" t="s">
        <v>35</v>
      </c>
      <c r="D161" s="12" t="s">
        <v>37</v>
      </c>
      <c r="E161" s="12" t="s">
        <v>12</v>
      </c>
      <c r="F161" s="12" t="s">
        <v>18</v>
      </c>
      <c r="G161" s="12" t="s">
        <v>22</v>
      </c>
      <c r="H161" s="24">
        <v>20.91</v>
      </c>
      <c r="I161" s="25">
        <v>15</v>
      </c>
      <c r="J161" s="26">
        <v>313.64999999999998</v>
      </c>
      <c r="K161" s="27" t="str">
        <f>TEXT(Table1[[#This Row],[Date]],"MMMM")</f>
        <v>February</v>
      </c>
    </row>
    <row r="162" spans="1:11" x14ac:dyDescent="0.25">
      <c r="A162" s="22">
        <v>476</v>
      </c>
      <c r="B162" s="23">
        <v>45710</v>
      </c>
      <c r="C162" s="12" t="s">
        <v>10</v>
      </c>
      <c r="D162" s="12" t="s">
        <v>37</v>
      </c>
      <c r="E162" s="12" t="s">
        <v>29</v>
      </c>
      <c r="F162" s="12" t="s">
        <v>18</v>
      </c>
      <c r="G162" s="12" t="s">
        <v>22</v>
      </c>
      <c r="H162" s="24">
        <v>49.11</v>
      </c>
      <c r="I162" s="25">
        <v>38</v>
      </c>
      <c r="J162" s="26">
        <v>1866.18</v>
      </c>
      <c r="K162" s="27" t="str">
        <f>TEXT(Table1[[#This Row],[Date]],"MMMM")</f>
        <v>February</v>
      </c>
    </row>
    <row r="163" spans="1:11" x14ac:dyDescent="0.25">
      <c r="A163" s="22">
        <v>225</v>
      </c>
      <c r="B163" s="23">
        <v>45868</v>
      </c>
      <c r="C163" s="12" t="s">
        <v>15</v>
      </c>
      <c r="D163" s="12" t="s">
        <v>37</v>
      </c>
      <c r="E163" s="12" t="s">
        <v>24</v>
      </c>
      <c r="F163" s="12" t="s">
        <v>18</v>
      </c>
      <c r="G163" s="12" t="s">
        <v>22</v>
      </c>
      <c r="H163" s="24">
        <v>93.45</v>
      </c>
      <c r="I163" s="25">
        <v>37</v>
      </c>
      <c r="J163" s="26">
        <v>3457.65</v>
      </c>
      <c r="K163" s="27" t="str">
        <f>TEXT(Table1[[#This Row],[Date]],"MMMM")</f>
        <v>July</v>
      </c>
    </row>
    <row r="164" spans="1:11" x14ac:dyDescent="0.25">
      <c r="A164" s="22">
        <v>353</v>
      </c>
      <c r="B164" s="23">
        <v>45951</v>
      </c>
      <c r="C164" s="12" t="s">
        <v>15</v>
      </c>
      <c r="D164" s="12" t="s">
        <v>37</v>
      </c>
      <c r="E164" s="12" t="s">
        <v>21</v>
      </c>
      <c r="F164" s="12" t="s">
        <v>18</v>
      </c>
      <c r="G164" s="12" t="s">
        <v>22</v>
      </c>
      <c r="H164" s="24">
        <v>35.74</v>
      </c>
      <c r="I164" s="25">
        <v>33</v>
      </c>
      <c r="J164" s="26">
        <v>1179.42</v>
      </c>
      <c r="K164" s="27" t="str">
        <f>TEXT(Table1[[#This Row],[Date]],"MMMM")</f>
        <v>October</v>
      </c>
    </row>
    <row r="165" spans="1:11" x14ac:dyDescent="0.25">
      <c r="A165" s="22">
        <v>62</v>
      </c>
      <c r="B165" s="23">
        <v>46014</v>
      </c>
      <c r="C165" s="12" t="s">
        <v>30</v>
      </c>
      <c r="D165" s="12" t="s">
        <v>37</v>
      </c>
      <c r="E165" s="12" t="s">
        <v>17</v>
      </c>
      <c r="F165" s="12" t="s">
        <v>18</v>
      </c>
      <c r="G165" s="12" t="s">
        <v>22</v>
      </c>
      <c r="H165" s="24">
        <v>49.16</v>
      </c>
      <c r="I165" s="25">
        <v>26</v>
      </c>
      <c r="J165" s="26">
        <v>1278.1600000000001</v>
      </c>
      <c r="K165" s="27" t="str">
        <f>TEXT(Table1[[#This Row],[Date]],"MMMM")</f>
        <v>December</v>
      </c>
    </row>
    <row r="166" spans="1:11" x14ac:dyDescent="0.25">
      <c r="A166" s="22">
        <v>102</v>
      </c>
      <c r="B166" s="23">
        <v>45716</v>
      </c>
      <c r="C166" s="12" t="s">
        <v>23</v>
      </c>
      <c r="D166" s="12" t="s">
        <v>36</v>
      </c>
      <c r="E166" s="12" t="s">
        <v>32</v>
      </c>
      <c r="F166" s="12" t="s">
        <v>18</v>
      </c>
      <c r="G166" s="12" t="s">
        <v>19</v>
      </c>
      <c r="H166" s="24">
        <v>67.62</v>
      </c>
      <c r="I166" s="25">
        <v>42</v>
      </c>
      <c r="J166" s="26">
        <v>2840.04</v>
      </c>
      <c r="K166" s="27" t="str">
        <f>TEXT(Table1[[#This Row],[Date]],"MMMM")</f>
        <v>February</v>
      </c>
    </row>
    <row r="167" spans="1:11" x14ac:dyDescent="0.25">
      <c r="A167" s="22">
        <v>425</v>
      </c>
      <c r="B167" s="23">
        <v>45765</v>
      </c>
      <c r="C167" s="12" t="s">
        <v>28</v>
      </c>
      <c r="D167" s="12" t="s">
        <v>36</v>
      </c>
      <c r="E167" s="12" t="s">
        <v>29</v>
      </c>
      <c r="F167" s="12" t="s">
        <v>18</v>
      </c>
      <c r="G167" s="12" t="s">
        <v>19</v>
      </c>
      <c r="H167" s="24">
        <v>33.700000000000003</v>
      </c>
      <c r="I167" s="25">
        <v>5</v>
      </c>
      <c r="J167" s="26">
        <v>168.5</v>
      </c>
      <c r="K167" s="27" t="str">
        <f>TEXT(Table1[[#This Row],[Date]],"MMMM")</f>
        <v>April</v>
      </c>
    </row>
    <row r="168" spans="1:11" x14ac:dyDescent="0.25">
      <c r="A168" s="22">
        <v>441</v>
      </c>
      <c r="B168" s="23">
        <v>45880</v>
      </c>
      <c r="C168" s="12" t="s">
        <v>23</v>
      </c>
      <c r="D168" s="12" t="s">
        <v>36</v>
      </c>
      <c r="E168" s="12" t="s">
        <v>24</v>
      </c>
      <c r="F168" s="12" t="s">
        <v>18</v>
      </c>
      <c r="G168" s="12" t="s">
        <v>19</v>
      </c>
      <c r="H168" s="24">
        <v>28.22</v>
      </c>
      <c r="I168" s="25">
        <v>41</v>
      </c>
      <c r="J168" s="26">
        <v>1157.02</v>
      </c>
      <c r="K168" s="27" t="str">
        <f>TEXT(Table1[[#This Row],[Date]],"MMMM")</f>
        <v>August</v>
      </c>
    </row>
    <row r="169" spans="1:11" x14ac:dyDescent="0.25">
      <c r="A169" s="22">
        <v>95</v>
      </c>
      <c r="B169" s="23">
        <v>45903</v>
      </c>
      <c r="C169" s="12" t="s">
        <v>20</v>
      </c>
      <c r="D169" s="12" t="s">
        <v>36</v>
      </c>
      <c r="E169" s="12" t="s">
        <v>39</v>
      </c>
      <c r="F169" s="12" t="s">
        <v>18</v>
      </c>
      <c r="G169" s="12" t="s">
        <v>19</v>
      </c>
      <c r="H169" s="24">
        <v>55.65</v>
      </c>
      <c r="I169" s="25">
        <v>12</v>
      </c>
      <c r="J169" s="26">
        <v>667.8</v>
      </c>
      <c r="K169" s="27" t="str">
        <f>TEXT(Table1[[#This Row],[Date]],"MMMM")</f>
        <v>September</v>
      </c>
    </row>
    <row r="170" spans="1:11" x14ac:dyDescent="0.25">
      <c r="A170" s="22">
        <v>469</v>
      </c>
      <c r="B170" s="23">
        <v>45914</v>
      </c>
      <c r="C170" s="12" t="s">
        <v>35</v>
      </c>
      <c r="D170" s="12" t="s">
        <v>36</v>
      </c>
      <c r="E170" s="12" t="s">
        <v>21</v>
      </c>
      <c r="F170" s="12" t="s">
        <v>18</v>
      </c>
      <c r="G170" s="12" t="s">
        <v>19</v>
      </c>
      <c r="H170" s="24">
        <v>18.78</v>
      </c>
      <c r="I170" s="25">
        <v>44</v>
      </c>
      <c r="J170" s="26">
        <v>826.32</v>
      </c>
      <c r="K170" s="27" t="str">
        <f>TEXT(Table1[[#This Row],[Date]],"MMMM")</f>
        <v>September</v>
      </c>
    </row>
    <row r="171" spans="1:11" x14ac:dyDescent="0.25">
      <c r="A171" s="22">
        <v>403</v>
      </c>
      <c r="B171" s="23">
        <v>46009</v>
      </c>
      <c r="C171" s="12" t="s">
        <v>15</v>
      </c>
      <c r="D171" s="12" t="s">
        <v>36</v>
      </c>
      <c r="E171" s="12" t="s">
        <v>29</v>
      </c>
      <c r="F171" s="12" t="s">
        <v>18</v>
      </c>
      <c r="G171" s="12" t="s">
        <v>19</v>
      </c>
      <c r="H171" s="24">
        <v>77.48</v>
      </c>
      <c r="I171" s="25">
        <v>42</v>
      </c>
      <c r="J171" s="26">
        <v>3254.16</v>
      </c>
      <c r="K171" s="27" t="str">
        <f>TEXT(Table1[[#This Row],[Date]],"MMMM")</f>
        <v>December</v>
      </c>
    </row>
    <row r="172" spans="1:11" x14ac:dyDescent="0.25">
      <c r="A172" s="22">
        <v>316</v>
      </c>
      <c r="B172" s="23">
        <v>45712</v>
      </c>
      <c r="C172" s="12" t="s">
        <v>27</v>
      </c>
      <c r="D172" s="12" t="s">
        <v>31</v>
      </c>
      <c r="E172" s="12" t="s">
        <v>34</v>
      </c>
      <c r="F172" s="12" t="s">
        <v>18</v>
      </c>
      <c r="G172" s="12" t="s">
        <v>19</v>
      </c>
      <c r="H172" s="24">
        <v>15.52</v>
      </c>
      <c r="I172" s="25">
        <v>20</v>
      </c>
      <c r="J172" s="26">
        <v>310.39999999999998</v>
      </c>
      <c r="K172" s="27" t="str">
        <f>TEXT(Table1[[#This Row],[Date]],"MMMM")</f>
        <v>February</v>
      </c>
    </row>
    <row r="173" spans="1:11" x14ac:dyDescent="0.25">
      <c r="A173" s="22">
        <v>417</v>
      </c>
      <c r="B173" s="23">
        <v>45761</v>
      </c>
      <c r="C173" s="12" t="s">
        <v>23</v>
      </c>
      <c r="D173" s="12" t="s">
        <v>31</v>
      </c>
      <c r="E173" s="12" t="s">
        <v>17</v>
      </c>
      <c r="F173" s="12" t="s">
        <v>18</v>
      </c>
      <c r="G173" s="12" t="s">
        <v>19</v>
      </c>
      <c r="H173" s="24">
        <v>97.74</v>
      </c>
      <c r="I173" s="25">
        <v>22</v>
      </c>
      <c r="J173" s="26">
        <v>2150.2800000000002</v>
      </c>
      <c r="K173" s="27" t="str">
        <f>TEXT(Table1[[#This Row],[Date]],"MMMM")</f>
        <v>April</v>
      </c>
    </row>
    <row r="174" spans="1:11" x14ac:dyDescent="0.25">
      <c r="A174" s="22">
        <v>277</v>
      </c>
      <c r="B174" s="23">
        <v>45769</v>
      </c>
      <c r="C174" s="12" t="s">
        <v>35</v>
      </c>
      <c r="D174" s="12" t="s">
        <v>31</v>
      </c>
      <c r="E174" s="12" t="s">
        <v>29</v>
      </c>
      <c r="F174" s="12" t="s">
        <v>18</v>
      </c>
      <c r="G174" s="12" t="s">
        <v>19</v>
      </c>
      <c r="H174" s="24">
        <v>71.510000000000005</v>
      </c>
      <c r="I174" s="25">
        <v>3</v>
      </c>
      <c r="J174" s="26">
        <v>214.53</v>
      </c>
      <c r="K174" s="27" t="str">
        <f>TEXT(Table1[[#This Row],[Date]],"MMMM")</f>
        <v>April</v>
      </c>
    </row>
    <row r="175" spans="1:11" x14ac:dyDescent="0.25">
      <c r="A175" s="22">
        <v>359</v>
      </c>
      <c r="B175" s="23">
        <v>45830</v>
      </c>
      <c r="C175" s="12" t="s">
        <v>27</v>
      </c>
      <c r="D175" s="12" t="s">
        <v>31</v>
      </c>
      <c r="E175" s="12" t="s">
        <v>17</v>
      </c>
      <c r="F175" s="12" t="s">
        <v>18</v>
      </c>
      <c r="G175" s="12" t="s">
        <v>19</v>
      </c>
      <c r="H175" s="24">
        <v>67.94</v>
      </c>
      <c r="I175" s="25">
        <v>9</v>
      </c>
      <c r="J175" s="26">
        <v>611.46</v>
      </c>
      <c r="K175" s="27" t="str">
        <f>TEXT(Table1[[#This Row],[Date]],"MMMM")</f>
        <v>June</v>
      </c>
    </row>
    <row r="176" spans="1:11" x14ac:dyDescent="0.25">
      <c r="A176" s="22">
        <v>222</v>
      </c>
      <c r="B176" s="23">
        <v>46021</v>
      </c>
      <c r="C176" s="12" t="s">
        <v>23</v>
      </c>
      <c r="D176" s="12" t="s">
        <v>31</v>
      </c>
      <c r="E176" s="12" t="s">
        <v>12</v>
      </c>
      <c r="F176" s="12" t="s">
        <v>18</v>
      </c>
      <c r="G176" s="12" t="s">
        <v>19</v>
      </c>
      <c r="H176" s="24">
        <v>111.64</v>
      </c>
      <c r="I176" s="25">
        <v>41</v>
      </c>
      <c r="J176" s="26">
        <v>4577.24</v>
      </c>
      <c r="K176" s="27" t="str">
        <f>TEXT(Table1[[#This Row],[Date]],"MMMM")</f>
        <v>December</v>
      </c>
    </row>
    <row r="177" spans="1:11" x14ac:dyDescent="0.25">
      <c r="A177" s="22">
        <v>99</v>
      </c>
      <c r="B177" s="23">
        <v>45766</v>
      </c>
      <c r="C177" s="12" t="s">
        <v>23</v>
      </c>
      <c r="D177" s="12" t="s">
        <v>11</v>
      </c>
      <c r="E177" s="12" t="s">
        <v>32</v>
      </c>
      <c r="F177" s="12" t="s">
        <v>18</v>
      </c>
      <c r="G177" s="12" t="s">
        <v>19</v>
      </c>
      <c r="H177" s="24">
        <v>35.43</v>
      </c>
      <c r="I177" s="25">
        <v>6</v>
      </c>
      <c r="J177" s="26">
        <v>212.58</v>
      </c>
      <c r="K177" s="27" t="str">
        <f>TEXT(Table1[[#This Row],[Date]],"MMMM")</f>
        <v>April</v>
      </c>
    </row>
    <row r="178" spans="1:11" x14ac:dyDescent="0.25">
      <c r="A178" s="22">
        <v>412</v>
      </c>
      <c r="B178" s="23">
        <v>45777</v>
      </c>
      <c r="C178" s="12" t="s">
        <v>30</v>
      </c>
      <c r="D178" s="12" t="s">
        <v>11</v>
      </c>
      <c r="E178" s="12" t="s">
        <v>34</v>
      </c>
      <c r="F178" s="12" t="s">
        <v>18</v>
      </c>
      <c r="G178" s="12" t="s">
        <v>19</v>
      </c>
      <c r="H178" s="24">
        <v>117.01</v>
      </c>
      <c r="I178" s="25">
        <v>7</v>
      </c>
      <c r="J178" s="26">
        <v>819.07</v>
      </c>
      <c r="K178" s="27" t="str">
        <f>TEXT(Table1[[#This Row],[Date]],"MMMM")</f>
        <v>April</v>
      </c>
    </row>
    <row r="179" spans="1:11" x14ac:dyDescent="0.25">
      <c r="A179" s="22">
        <v>30</v>
      </c>
      <c r="B179" s="23">
        <v>45779</v>
      </c>
      <c r="C179" s="12" t="s">
        <v>27</v>
      </c>
      <c r="D179" s="12" t="s">
        <v>11</v>
      </c>
      <c r="E179" s="12" t="s">
        <v>21</v>
      </c>
      <c r="F179" s="12" t="s">
        <v>18</v>
      </c>
      <c r="G179" s="12" t="s">
        <v>19</v>
      </c>
      <c r="H179" s="24">
        <v>24.13</v>
      </c>
      <c r="I179" s="25">
        <v>32</v>
      </c>
      <c r="J179" s="26">
        <v>772.16</v>
      </c>
      <c r="K179" s="27" t="str">
        <f>TEXT(Table1[[#This Row],[Date]],"MMMM")</f>
        <v>May</v>
      </c>
    </row>
    <row r="180" spans="1:11" x14ac:dyDescent="0.25">
      <c r="A180" s="22">
        <v>23</v>
      </c>
      <c r="B180" s="23">
        <v>45784</v>
      </c>
      <c r="C180" s="12" t="s">
        <v>20</v>
      </c>
      <c r="D180" s="12" t="s">
        <v>11</v>
      </c>
      <c r="E180" s="12" t="s">
        <v>12</v>
      </c>
      <c r="F180" s="12" t="s">
        <v>18</v>
      </c>
      <c r="G180" s="12" t="s">
        <v>19</v>
      </c>
      <c r="H180" s="24">
        <v>30.84</v>
      </c>
      <c r="I180" s="25">
        <v>22</v>
      </c>
      <c r="J180" s="26">
        <v>678.48</v>
      </c>
      <c r="K180" s="27" t="str">
        <f>TEXT(Table1[[#This Row],[Date]],"MMMM")</f>
        <v>May</v>
      </c>
    </row>
    <row r="181" spans="1:11" x14ac:dyDescent="0.25">
      <c r="A181" s="22">
        <v>244</v>
      </c>
      <c r="B181" s="23">
        <v>45831</v>
      </c>
      <c r="C181" s="12" t="s">
        <v>23</v>
      </c>
      <c r="D181" s="12" t="s">
        <v>11</v>
      </c>
      <c r="E181" s="12" t="s">
        <v>21</v>
      </c>
      <c r="F181" s="12" t="s">
        <v>18</v>
      </c>
      <c r="G181" s="12" t="s">
        <v>19</v>
      </c>
      <c r="H181" s="24">
        <v>69.150000000000006</v>
      </c>
      <c r="I181" s="25">
        <v>24</v>
      </c>
      <c r="J181" s="26">
        <v>1659.6</v>
      </c>
      <c r="K181" s="27" t="str">
        <f>TEXT(Table1[[#This Row],[Date]],"MMMM")</f>
        <v>June</v>
      </c>
    </row>
    <row r="182" spans="1:11" x14ac:dyDescent="0.25">
      <c r="A182" s="22">
        <v>433</v>
      </c>
      <c r="B182" s="23">
        <v>45876</v>
      </c>
      <c r="C182" s="12" t="s">
        <v>27</v>
      </c>
      <c r="D182" s="12" t="s">
        <v>11</v>
      </c>
      <c r="E182" s="12" t="s">
        <v>29</v>
      </c>
      <c r="F182" s="12" t="s">
        <v>18</v>
      </c>
      <c r="G182" s="12" t="s">
        <v>19</v>
      </c>
      <c r="H182" s="24">
        <v>15.08</v>
      </c>
      <c r="I182" s="25">
        <v>43</v>
      </c>
      <c r="J182" s="26">
        <v>648.44000000000005</v>
      </c>
      <c r="K182" s="27" t="str">
        <f>TEXT(Table1[[#This Row],[Date]],"MMMM")</f>
        <v>August</v>
      </c>
    </row>
    <row r="183" spans="1:11" x14ac:dyDescent="0.25">
      <c r="A183" s="22">
        <v>198</v>
      </c>
      <c r="B183" s="23">
        <v>45677</v>
      </c>
      <c r="C183" s="12" t="s">
        <v>23</v>
      </c>
      <c r="D183" s="12" t="s">
        <v>38</v>
      </c>
      <c r="E183" s="12" t="s">
        <v>39</v>
      </c>
      <c r="F183" s="12" t="s">
        <v>18</v>
      </c>
      <c r="G183" s="12" t="s">
        <v>19</v>
      </c>
      <c r="H183" s="24">
        <v>37.99</v>
      </c>
      <c r="I183" s="25">
        <v>31</v>
      </c>
      <c r="J183" s="26">
        <v>1177.69</v>
      </c>
      <c r="K183" s="27" t="str">
        <f>TEXT(Table1[[#This Row],[Date]],"MMMM")</f>
        <v>January</v>
      </c>
    </row>
    <row r="184" spans="1:11" x14ac:dyDescent="0.25">
      <c r="A184" s="22">
        <v>157</v>
      </c>
      <c r="B184" s="23">
        <v>45818</v>
      </c>
      <c r="C184" s="12" t="s">
        <v>23</v>
      </c>
      <c r="D184" s="12" t="s">
        <v>38</v>
      </c>
      <c r="E184" s="12" t="s">
        <v>29</v>
      </c>
      <c r="F184" s="12" t="s">
        <v>18</v>
      </c>
      <c r="G184" s="12" t="s">
        <v>19</v>
      </c>
      <c r="H184" s="24">
        <v>81.489999999999995</v>
      </c>
      <c r="I184" s="25">
        <v>24</v>
      </c>
      <c r="J184" s="26">
        <v>1955.76</v>
      </c>
      <c r="K184" s="27" t="str">
        <f>TEXT(Table1[[#This Row],[Date]],"MMMM")</f>
        <v>June</v>
      </c>
    </row>
    <row r="185" spans="1:11" x14ac:dyDescent="0.25">
      <c r="A185" s="22">
        <v>42</v>
      </c>
      <c r="B185" s="23">
        <v>45833</v>
      </c>
      <c r="C185" s="12" t="s">
        <v>10</v>
      </c>
      <c r="D185" s="12" t="s">
        <v>38</v>
      </c>
      <c r="E185" s="12" t="s">
        <v>34</v>
      </c>
      <c r="F185" s="12" t="s">
        <v>18</v>
      </c>
      <c r="G185" s="12" t="s">
        <v>19</v>
      </c>
      <c r="H185" s="24">
        <v>28.41</v>
      </c>
      <c r="I185" s="25">
        <v>41</v>
      </c>
      <c r="J185" s="26">
        <v>1164.81</v>
      </c>
      <c r="K185" s="27" t="str">
        <f>TEXT(Table1[[#This Row],[Date]],"MMMM")</f>
        <v>June</v>
      </c>
    </row>
    <row r="186" spans="1:11" x14ac:dyDescent="0.25">
      <c r="A186" s="22">
        <v>37</v>
      </c>
      <c r="B186" s="23">
        <v>45860</v>
      </c>
      <c r="C186" s="12" t="s">
        <v>10</v>
      </c>
      <c r="D186" s="12" t="s">
        <v>38</v>
      </c>
      <c r="E186" s="12" t="s">
        <v>24</v>
      </c>
      <c r="F186" s="12" t="s">
        <v>18</v>
      </c>
      <c r="G186" s="12" t="s">
        <v>19</v>
      </c>
      <c r="H186" s="24">
        <v>20.05</v>
      </c>
      <c r="I186" s="25">
        <v>42</v>
      </c>
      <c r="J186" s="26">
        <v>842.1</v>
      </c>
      <c r="K186" s="27" t="str">
        <f>TEXT(Table1[[#This Row],[Date]],"MMMM")</f>
        <v>July</v>
      </c>
    </row>
    <row r="187" spans="1:11" x14ac:dyDescent="0.25">
      <c r="A187" s="22">
        <v>215</v>
      </c>
      <c r="B187" s="23">
        <v>45731</v>
      </c>
      <c r="C187" s="12" t="s">
        <v>27</v>
      </c>
      <c r="D187" s="12" t="s">
        <v>40</v>
      </c>
      <c r="E187" s="12" t="s">
        <v>32</v>
      </c>
      <c r="F187" s="12" t="s">
        <v>18</v>
      </c>
      <c r="G187" s="12" t="s">
        <v>19</v>
      </c>
      <c r="H187" s="24">
        <v>102.6</v>
      </c>
      <c r="I187" s="25">
        <v>44</v>
      </c>
      <c r="J187" s="26">
        <v>4514.3999999999996</v>
      </c>
      <c r="K187" s="27" t="str">
        <f>TEXT(Table1[[#This Row],[Date]],"MMMM")</f>
        <v>March</v>
      </c>
    </row>
    <row r="188" spans="1:11" x14ac:dyDescent="0.25">
      <c r="A188" s="22">
        <v>282</v>
      </c>
      <c r="B188" s="23">
        <v>45835</v>
      </c>
      <c r="C188" s="12" t="s">
        <v>15</v>
      </c>
      <c r="D188" s="12" t="s">
        <v>40</v>
      </c>
      <c r="E188" s="12" t="s">
        <v>21</v>
      </c>
      <c r="F188" s="12" t="s">
        <v>18</v>
      </c>
      <c r="G188" s="12" t="s">
        <v>19</v>
      </c>
      <c r="H188" s="24">
        <v>22.84</v>
      </c>
      <c r="I188" s="25">
        <v>13</v>
      </c>
      <c r="J188" s="26">
        <v>296.92</v>
      </c>
      <c r="K188" s="27" t="str">
        <f>TEXT(Table1[[#This Row],[Date]],"MMMM")</f>
        <v>June</v>
      </c>
    </row>
    <row r="189" spans="1:11" x14ac:dyDescent="0.25">
      <c r="A189" s="22">
        <v>300</v>
      </c>
      <c r="B189" s="23">
        <v>45937</v>
      </c>
      <c r="C189" s="12" t="s">
        <v>20</v>
      </c>
      <c r="D189" s="12" t="s">
        <v>40</v>
      </c>
      <c r="E189" s="12" t="s">
        <v>29</v>
      </c>
      <c r="F189" s="12" t="s">
        <v>18</v>
      </c>
      <c r="G189" s="12" t="s">
        <v>19</v>
      </c>
      <c r="H189" s="24">
        <v>61.16</v>
      </c>
      <c r="I189" s="25">
        <v>35</v>
      </c>
      <c r="J189" s="26">
        <v>2140.6</v>
      </c>
      <c r="K189" s="27" t="str">
        <f>TEXT(Table1[[#This Row],[Date]],"MMMM")</f>
        <v>October</v>
      </c>
    </row>
    <row r="190" spans="1:11" x14ac:dyDescent="0.25">
      <c r="A190" s="22">
        <v>329</v>
      </c>
      <c r="B190" s="23">
        <v>45964</v>
      </c>
      <c r="C190" s="12" t="s">
        <v>35</v>
      </c>
      <c r="D190" s="12" t="s">
        <v>40</v>
      </c>
      <c r="E190" s="12" t="s">
        <v>24</v>
      </c>
      <c r="F190" s="12" t="s">
        <v>18</v>
      </c>
      <c r="G190" s="12" t="s">
        <v>19</v>
      </c>
      <c r="H190" s="24">
        <v>60.11</v>
      </c>
      <c r="I190" s="25">
        <v>26</v>
      </c>
      <c r="J190" s="26">
        <v>1562.86</v>
      </c>
      <c r="K190" s="27" t="str">
        <f>TEXT(Table1[[#This Row],[Date]],"MMMM")</f>
        <v>November</v>
      </c>
    </row>
    <row r="191" spans="1:11" x14ac:dyDescent="0.25">
      <c r="A191" s="22">
        <v>480</v>
      </c>
      <c r="B191" s="23">
        <v>45985</v>
      </c>
      <c r="C191" s="12" t="s">
        <v>20</v>
      </c>
      <c r="D191" s="12" t="s">
        <v>40</v>
      </c>
      <c r="E191" s="12" t="s">
        <v>29</v>
      </c>
      <c r="F191" s="12" t="s">
        <v>18</v>
      </c>
      <c r="G191" s="12" t="s">
        <v>19</v>
      </c>
      <c r="H191" s="24">
        <v>34.42</v>
      </c>
      <c r="I191" s="25">
        <v>35</v>
      </c>
      <c r="J191" s="26">
        <v>1204.7</v>
      </c>
      <c r="K191" s="27" t="str">
        <f>TEXT(Table1[[#This Row],[Date]],"MMMM")</f>
        <v>November</v>
      </c>
    </row>
    <row r="192" spans="1:11" x14ac:dyDescent="0.25">
      <c r="A192" s="22">
        <v>230</v>
      </c>
      <c r="B192" s="23">
        <v>45995</v>
      </c>
      <c r="C192" s="12" t="s">
        <v>28</v>
      </c>
      <c r="D192" s="12" t="s">
        <v>40</v>
      </c>
      <c r="E192" s="12" t="s">
        <v>17</v>
      </c>
      <c r="F192" s="12" t="s">
        <v>18</v>
      </c>
      <c r="G192" s="12" t="s">
        <v>19</v>
      </c>
      <c r="H192" s="24">
        <v>76.819999999999993</v>
      </c>
      <c r="I192" s="25">
        <v>39</v>
      </c>
      <c r="J192" s="26">
        <v>2995.98</v>
      </c>
      <c r="K192" s="27" t="str">
        <f>TEXT(Table1[[#This Row],[Date]],"MMMM")</f>
        <v>December</v>
      </c>
    </row>
    <row r="193" spans="1:11" x14ac:dyDescent="0.25">
      <c r="A193" s="22">
        <v>2</v>
      </c>
      <c r="B193" s="23">
        <v>45710</v>
      </c>
      <c r="C193" s="12" t="s">
        <v>15</v>
      </c>
      <c r="D193" s="12" t="s">
        <v>16</v>
      </c>
      <c r="E193" s="12" t="s">
        <v>17</v>
      </c>
      <c r="F193" s="12" t="s">
        <v>18</v>
      </c>
      <c r="G193" s="12" t="s">
        <v>19</v>
      </c>
      <c r="H193" s="24">
        <v>82.82</v>
      </c>
      <c r="I193" s="25">
        <v>35</v>
      </c>
      <c r="J193" s="26">
        <v>2898.7</v>
      </c>
      <c r="K193" s="27" t="str">
        <f>TEXT(Table1[[#This Row],[Date]],"MMMM")</f>
        <v>February</v>
      </c>
    </row>
    <row r="194" spans="1:11" x14ac:dyDescent="0.25">
      <c r="A194" s="22">
        <v>371</v>
      </c>
      <c r="B194" s="23">
        <v>45812</v>
      </c>
      <c r="C194" s="12" t="s">
        <v>30</v>
      </c>
      <c r="D194" s="12" t="s">
        <v>16</v>
      </c>
      <c r="E194" s="12" t="s">
        <v>34</v>
      </c>
      <c r="F194" s="12" t="s">
        <v>18</v>
      </c>
      <c r="G194" s="12" t="s">
        <v>19</v>
      </c>
      <c r="H194" s="24">
        <v>28.63</v>
      </c>
      <c r="I194" s="25">
        <v>39</v>
      </c>
      <c r="J194" s="26">
        <v>1116.57</v>
      </c>
      <c r="K194" s="27" t="str">
        <f>TEXT(Table1[[#This Row],[Date]],"MMMM")</f>
        <v>June</v>
      </c>
    </row>
    <row r="195" spans="1:11" x14ac:dyDescent="0.25">
      <c r="A195" s="22">
        <v>392</v>
      </c>
      <c r="B195" s="23">
        <v>45815</v>
      </c>
      <c r="C195" s="12" t="s">
        <v>30</v>
      </c>
      <c r="D195" s="12" t="s">
        <v>16</v>
      </c>
      <c r="E195" s="12" t="s">
        <v>39</v>
      </c>
      <c r="F195" s="12" t="s">
        <v>18</v>
      </c>
      <c r="G195" s="12" t="s">
        <v>19</v>
      </c>
      <c r="H195" s="24">
        <v>16.95</v>
      </c>
      <c r="I195" s="25">
        <v>34</v>
      </c>
      <c r="J195" s="26">
        <v>576.29999999999995</v>
      </c>
      <c r="K195" s="27" t="str">
        <f>TEXT(Table1[[#This Row],[Date]],"MMMM")</f>
        <v>June</v>
      </c>
    </row>
    <row r="196" spans="1:11" x14ac:dyDescent="0.25">
      <c r="A196" s="22">
        <v>363</v>
      </c>
      <c r="B196" s="23">
        <v>45978</v>
      </c>
      <c r="C196" s="12" t="s">
        <v>30</v>
      </c>
      <c r="D196" s="12" t="s">
        <v>16</v>
      </c>
      <c r="E196" s="12" t="s">
        <v>29</v>
      </c>
      <c r="F196" s="12" t="s">
        <v>18</v>
      </c>
      <c r="G196" s="12" t="s">
        <v>19</v>
      </c>
      <c r="H196" s="24">
        <v>40.130000000000003</v>
      </c>
      <c r="I196" s="25">
        <v>45</v>
      </c>
      <c r="J196" s="26">
        <v>1805.85</v>
      </c>
      <c r="K196" s="27" t="str">
        <f>TEXT(Table1[[#This Row],[Date]],"MMMM")</f>
        <v>November</v>
      </c>
    </row>
    <row r="197" spans="1:11" x14ac:dyDescent="0.25">
      <c r="A197" s="22">
        <v>401</v>
      </c>
      <c r="B197" s="23">
        <v>45673</v>
      </c>
      <c r="C197" s="12" t="s">
        <v>30</v>
      </c>
      <c r="D197" s="12" t="s">
        <v>26</v>
      </c>
      <c r="E197" s="12" t="s">
        <v>39</v>
      </c>
      <c r="F197" s="12" t="s">
        <v>18</v>
      </c>
      <c r="G197" s="12" t="s">
        <v>19</v>
      </c>
      <c r="H197" s="24">
        <v>114.49</v>
      </c>
      <c r="I197" s="25">
        <v>29</v>
      </c>
      <c r="J197" s="26">
        <v>3320.21</v>
      </c>
      <c r="K197" s="27" t="str">
        <f>TEXT(Table1[[#This Row],[Date]],"MMMM")</f>
        <v>January</v>
      </c>
    </row>
    <row r="198" spans="1:11" x14ac:dyDescent="0.25">
      <c r="A198" s="22">
        <v>404</v>
      </c>
      <c r="B198" s="23">
        <v>45759</v>
      </c>
      <c r="C198" s="12" t="s">
        <v>23</v>
      </c>
      <c r="D198" s="12" t="s">
        <v>26</v>
      </c>
      <c r="E198" s="12" t="s">
        <v>24</v>
      </c>
      <c r="F198" s="12" t="s">
        <v>18</v>
      </c>
      <c r="G198" s="12" t="s">
        <v>19</v>
      </c>
      <c r="H198" s="24">
        <v>108.79</v>
      </c>
      <c r="I198" s="25">
        <v>29</v>
      </c>
      <c r="J198" s="26">
        <v>3154.91</v>
      </c>
      <c r="K198" s="27" t="str">
        <f>TEXT(Table1[[#This Row],[Date]],"MMMM")</f>
        <v>April</v>
      </c>
    </row>
    <row r="199" spans="1:11" x14ac:dyDescent="0.25">
      <c r="A199" s="22">
        <v>163</v>
      </c>
      <c r="B199" s="23">
        <v>45837</v>
      </c>
      <c r="C199" s="12" t="s">
        <v>35</v>
      </c>
      <c r="D199" s="12" t="s">
        <v>26</v>
      </c>
      <c r="E199" s="12" t="s">
        <v>32</v>
      </c>
      <c r="F199" s="12" t="s">
        <v>18</v>
      </c>
      <c r="G199" s="12" t="s">
        <v>19</v>
      </c>
      <c r="H199" s="24">
        <v>5.7</v>
      </c>
      <c r="I199" s="25">
        <v>10</v>
      </c>
      <c r="J199" s="26">
        <v>57</v>
      </c>
      <c r="K199" s="27" t="str">
        <f>TEXT(Table1[[#This Row],[Date]],"MMMM")</f>
        <v>June</v>
      </c>
    </row>
    <row r="200" spans="1:11" x14ac:dyDescent="0.25">
      <c r="A200" s="22">
        <v>14</v>
      </c>
      <c r="B200" s="23">
        <v>45862</v>
      </c>
      <c r="C200" s="12" t="s">
        <v>27</v>
      </c>
      <c r="D200" s="12" t="s">
        <v>26</v>
      </c>
      <c r="E200" s="12" t="s">
        <v>17</v>
      </c>
      <c r="F200" s="12" t="s">
        <v>18</v>
      </c>
      <c r="G200" s="12" t="s">
        <v>19</v>
      </c>
      <c r="H200" s="24">
        <v>46.63</v>
      </c>
      <c r="I200" s="25">
        <v>9</v>
      </c>
      <c r="J200" s="26">
        <v>419.67</v>
      </c>
      <c r="K200" s="27" t="str">
        <f>TEXT(Table1[[#This Row],[Date]],"MMMM")</f>
        <v>July</v>
      </c>
    </row>
    <row r="201" spans="1:11" x14ac:dyDescent="0.25">
      <c r="A201" s="22">
        <v>301</v>
      </c>
      <c r="B201" s="23">
        <v>45869</v>
      </c>
      <c r="C201" s="12" t="s">
        <v>30</v>
      </c>
      <c r="D201" s="12" t="s">
        <v>26</v>
      </c>
      <c r="E201" s="12" t="s">
        <v>32</v>
      </c>
      <c r="F201" s="12" t="s">
        <v>18</v>
      </c>
      <c r="G201" s="12" t="s">
        <v>19</v>
      </c>
      <c r="H201" s="24">
        <v>20.81</v>
      </c>
      <c r="I201" s="25">
        <v>41</v>
      </c>
      <c r="J201" s="26">
        <v>853.21</v>
      </c>
      <c r="K201" s="27" t="str">
        <f>TEXT(Table1[[#This Row],[Date]],"MMMM")</f>
        <v>July</v>
      </c>
    </row>
    <row r="202" spans="1:11" x14ac:dyDescent="0.25">
      <c r="A202" s="22">
        <v>29</v>
      </c>
      <c r="B202" s="23">
        <v>45894</v>
      </c>
      <c r="C202" s="12" t="s">
        <v>27</v>
      </c>
      <c r="D202" s="12" t="s">
        <v>26</v>
      </c>
      <c r="E202" s="12" t="s">
        <v>17</v>
      </c>
      <c r="F202" s="12" t="s">
        <v>18</v>
      </c>
      <c r="G202" s="12" t="s">
        <v>19</v>
      </c>
      <c r="H202" s="24">
        <v>33.729999999999997</v>
      </c>
      <c r="I202" s="25">
        <v>5</v>
      </c>
      <c r="J202" s="26">
        <v>168.65</v>
      </c>
      <c r="K202" s="27" t="str">
        <f>TEXT(Table1[[#This Row],[Date]],"MMMM")</f>
        <v>August</v>
      </c>
    </row>
    <row r="203" spans="1:11" x14ac:dyDescent="0.25">
      <c r="A203" s="22">
        <v>194</v>
      </c>
      <c r="B203" s="23">
        <v>45904</v>
      </c>
      <c r="C203" s="12" t="s">
        <v>15</v>
      </c>
      <c r="D203" s="12" t="s">
        <v>26</v>
      </c>
      <c r="E203" s="12" t="s">
        <v>34</v>
      </c>
      <c r="F203" s="12" t="s">
        <v>18</v>
      </c>
      <c r="G203" s="12" t="s">
        <v>19</v>
      </c>
      <c r="H203" s="24">
        <v>105.52</v>
      </c>
      <c r="I203" s="25">
        <v>36</v>
      </c>
      <c r="J203" s="26">
        <v>3798.72</v>
      </c>
      <c r="K203" s="27" t="str">
        <f>TEXT(Table1[[#This Row],[Date]],"MMMM")</f>
        <v>September</v>
      </c>
    </row>
    <row r="204" spans="1:11" x14ac:dyDescent="0.25">
      <c r="A204" s="22">
        <v>75</v>
      </c>
      <c r="B204" s="23">
        <v>45934</v>
      </c>
      <c r="C204" s="12" t="s">
        <v>30</v>
      </c>
      <c r="D204" s="12" t="s">
        <v>26</v>
      </c>
      <c r="E204" s="12" t="s">
        <v>17</v>
      </c>
      <c r="F204" s="12" t="s">
        <v>18</v>
      </c>
      <c r="G204" s="12" t="s">
        <v>19</v>
      </c>
      <c r="H204" s="24">
        <v>10.99</v>
      </c>
      <c r="I204" s="25">
        <v>23</v>
      </c>
      <c r="J204" s="26">
        <v>252.77</v>
      </c>
      <c r="K204" s="27" t="str">
        <f>TEXT(Table1[[#This Row],[Date]],"MMMM")</f>
        <v>October</v>
      </c>
    </row>
    <row r="205" spans="1:11" x14ac:dyDescent="0.25">
      <c r="A205" s="22">
        <v>471</v>
      </c>
      <c r="B205" s="23">
        <v>45750</v>
      </c>
      <c r="C205" s="12" t="s">
        <v>28</v>
      </c>
      <c r="D205" s="12" t="s">
        <v>37</v>
      </c>
      <c r="E205" s="12" t="s">
        <v>24</v>
      </c>
      <c r="F205" s="12" t="s">
        <v>18</v>
      </c>
      <c r="G205" s="12" t="s">
        <v>19</v>
      </c>
      <c r="H205" s="24">
        <v>94.58</v>
      </c>
      <c r="I205" s="25">
        <v>32</v>
      </c>
      <c r="J205" s="26">
        <v>3026.56</v>
      </c>
      <c r="K205" s="27" t="str">
        <f>TEXT(Table1[[#This Row],[Date]],"MMMM")</f>
        <v>April</v>
      </c>
    </row>
    <row r="206" spans="1:11" x14ac:dyDescent="0.25">
      <c r="A206" s="22">
        <v>415</v>
      </c>
      <c r="B206" s="23">
        <v>45754</v>
      </c>
      <c r="C206" s="12" t="s">
        <v>10</v>
      </c>
      <c r="D206" s="12" t="s">
        <v>37</v>
      </c>
      <c r="E206" s="12" t="s">
        <v>39</v>
      </c>
      <c r="F206" s="12" t="s">
        <v>18</v>
      </c>
      <c r="G206" s="12" t="s">
        <v>19</v>
      </c>
      <c r="H206" s="24">
        <v>101.22</v>
      </c>
      <c r="I206" s="25">
        <v>32</v>
      </c>
      <c r="J206" s="26">
        <v>3239.04</v>
      </c>
      <c r="K206" s="27" t="str">
        <f>TEXT(Table1[[#This Row],[Date]],"MMMM")</f>
        <v>April</v>
      </c>
    </row>
    <row r="207" spans="1:11" x14ac:dyDescent="0.25">
      <c r="A207" s="22">
        <v>423</v>
      </c>
      <c r="B207" s="23">
        <v>45771</v>
      </c>
      <c r="C207" s="12" t="s">
        <v>27</v>
      </c>
      <c r="D207" s="12" t="s">
        <v>37</v>
      </c>
      <c r="E207" s="12" t="s">
        <v>24</v>
      </c>
      <c r="F207" s="12" t="s">
        <v>18</v>
      </c>
      <c r="G207" s="12" t="s">
        <v>19</v>
      </c>
      <c r="H207" s="24">
        <v>78.56</v>
      </c>
      <c r="I207" s="25">
        <v>7</v>
      </c>
      <c r="J207" s="26">
        <v>549.91999999999996</v>
      </c>
      <c r="K207" s="27" t="str">
        <f>TEXT(Table1[[#This Row],[Date]],"MMMM")</f>
        <v>April</v>
      </c>
    </row>
    <row r="208" spans="1:11" x14ac:dyDescent="0.25">
      <c r="A208" s="22">
        <v>60</v>
      </c>
      <c r="B208" s="23">
        <v>45778</v>
      </c>
      <c r="C208" s="12" t="s">
        <v>30</v>
      </c>
      <c r="D208" s="12" t="s">
        <v>37</v>
      </c>
      <c r="E208" s="12" t="s">
        <v>17</v>
      </c>
      <c r="F208" s="12" t="s">
        <v>18</v>
      </c>
      <c r="G208" s="12" t="s">
        <v>19</v>
      </c>
      <c r="H208" s="24">
        <v>82.37</v>
      </c>
      <c r="I208" s="25">
        <v>15</v>
      </c>
      <c r="J208" s="26">
        <v>1235.55</v>
      </c>
      <c r="K208" s="27" t="str">
        <f>TEXT(Table1[[#This Row],[Date]],"MMMM")</f>
        <v>May</v>
      </c>
    </row>
    <row r="209" spans="1:11" x14ac:dyDescent="0.25">
      <c r="A209" s="22">
        <v>472</v>
      </c>
      <c r="B209" s="23">
        <v>45889</v>
      </c>
      <c r="C209" s="12" t="s">
        <v>23</v>
      </c>
      <c r="D209" s="12" t="s">
        <v>37</v>
      </c>
      <c r="E209" s="12" t="s">
        <v>39</v>
      </c>
      <c r="F209" s="12" t="s">
        <v>18</v>
      </c>
      <c r="G209" s="12" t="s">
        <v>19</v>
      </c>
      <c r="H209" s="24">
        <v>36.46</v>
      </c>
      <c r="I209" s="25">
        <v>49</v>
      </c>
      <c r="J209" s="26">
        <v>1786.54</v>
      </c>
      <c r="K209" s="27" t="str">
        <f>TEXT(Table1[[#This Row],[Date]],"MMMM")</f>
        <v>August</v>
      </c>
    </row>
    <row r="210" spans="1:11" x14ac:dyDescent="0.25">
      <c r="A210" s="22">
        <v>427</v>
      </c>
      <c r="B210" s="23">
        <v>45937</v>
      </c>
      <c r="C210" s="12" t="s">
        <v>30</v>
      </c>
      <c r="D210" s="12" t="s">
        <v>37</v>
      </c>
      <c r="E210" s="12" t="s">
        <v>39</v>
      </c>
      <c r="F210" s="12" t="s">
        <v>18</v>
      </c>
      <c r="G210" s="12" t="s">
        <v>19</v>
      </c>
      <c r="H210" s="24">
        <v>48.16</v>
      </c>
      <c r="I210" s="25">
        <v>31</v>
      </c>
      <c r="J210" s="26">
        <v>1492.96</v>
      </c>
      <c r="K210" s="27" t="str">
        <f>TEXT(Table1[[#This Row],[Date]],"MMMM")</f>
        <v>October</v>
      </c>
    </row>
    <row r="211" spans="1:11" x14ac:dyDescent="0.25">
      <c r="A211" s="22">
        <v>52</v>
      </c>
      <c r="B211" s="23">
        <v>45717</v>
      </c>
      <c r="C211" s="12" t="s">
        <v>23</v>
      </c>
      <c r="D211" s="12" t="s">
        <v>36</v>
      </c>
      <c r="E211" s="12" t="s">
        <v>17</v>
      </c>
      <c r="F211" s="12" t="s">
        <v>18</v>
      </c>
      <c r="G211" s="12" t="s">
        <v>14</v>
      </c>
      <c r="H211" s="24">
        <v>105.86</v>
      </c>
      <c r="I211" s="25">
        <v>17</v>
      </c>
      <c r="J211" s="26">
        <v>1799.62</v>
      </c>
      <c r="K211" s="27" t="str">
        <f>TEXT(Table1[[#This Row],[Date]],"MMMM")</f>
        <v>March</v>
      </c>
    </row>
    <row r="212" spans="1:11" x14ac:dyDescent="0.25">
      <c r="A212" s="22">
        <v>482</v>
      </c>
      <c r="B212" s="23">
        <v>45736</v>
      </c>
      <c r="C212" s="12" t="s">
        <v>20</v>
      </c>
      <c r="D212" s="12" t="s">
        <v>36</v>
      </c>
      <c r="E212" s="12" t="s">
        <v>21</v>
      </c>
      <c r="F212" s="12" t="s">
        <v>18</v>
      </c>
      <c r="G212" s="12" t="s">
        <v>14</v>
      </c>
      <c r="H212" s="24">
        <v>28.63</v>
      </c>
      <c r="I212" s="25">
        <v>44</v>
      </c>
      <c r="J212" s="26">
        <v>1259.72</v>
      </c>
      <c r="K212" s="27" t="str">
        <f>TEXT(Table1[[#This Row],[Date]],"MMMM")</f>
        <v>March</v>
      </c>
    </row>
    <row r="213" spans="1:11" x14ac:dyDescent="0.25">
      <c r="A213" s="22">
        <v>86</v>
      </c>
      <c r="B213" s="23">
        <v>45766</v>
      </c>
      <c r="C213" s="12" t="s">
        <v>28</v>
      </c>
      <c r="D213" s="12" t="s">
        <v>36</v>
      </c>
      <c r="E213" s="12" t="s">
        <v>34</v>
      </c>
      <c r="F213" s="12" t="s">
        <v>18</v>
      </c>
      <c r="G213" s="12" t="s">
        <v>14</v>
      </c>
      <c r="H213" s="24">
        <v>45.8</v>
      </c>
      <c r="I213" s="25">
        <v>17</v>
      </c>
      <c r="J213" s="26">
        <v>778.6</v>
      </c>
      <c r="K213" s="27" t="str">
        <f>TEXT(Table1[[#This Row],[Date]],"MMMM")</f>
        <v>April</v>
      </c>
    </row>
    <row r="214" spans="1:11" x14ac:dyDescent="0.25">
      <c r="A214" s="22">
        <v>17</v>
      </c>
      <c r="B214" s="23">
        <v>45808</v>
      </c>
      <c r="C214" s="12" t="s">
        <v>20</v>
      </c>
      <c r="D214" s="12" t="s">
        <v>36</v>
      </c>
      <c r="E214" s="12" t="s">
        <v>32</v>
      </c>
      <c r="F214" s="12" t="s">
        <v>18</v>
      </c>
      <c r="G214" s="12" t="s">
        <v>14</v>
      </c>
      <c r="H214" s="24">
        <v>55</v>
      </c>
      <c r="I214" s="25">
        <v>30</v>
      </c>
      <c r="J214" s="26">
        <v>1650</v>
      </c>
      <c r="K214" s="27" t="str">
        <f>TEXT(Table1[[#This Row],[Date]],"MMMM")</f>
        <v>May</v>
      </c>
    </row>
    <row r="215" spans="1:11" x14ac:dyDescent="0.25">
      <c r="A215" s="22">
        <v>93</v>
      </c>
      <c r="B215" s="23">
        <v>45842</v>
      </c>
      <c r="C215" s="12" t="s">
        <v>23</v>
      </c>
      <c r="D215" s="12" t="s">
        <v>36</v>
      </c>
      <c r="E215" s="12" t="s">
        <v>17</v>
      </c>
      <c r="F215" s="12" t="s">
        <v>18</v>
      </c>
      <c r="G215" s="12" t="s">
        <v>14</v>
      </c>
      <c r="H215" s="24">
        <v>25.64</v>
      </c>
      <c r="I215" s="25">
        <v>1</v>
      </c>
      <c r="J215" s="26">
        <v>25.64</v>
      </c>
      <c r="K215" s="27" t="str">
        <f>TEXT(Table1[[#This Row],[Date]],"MMMM")</f>
        <v>July</v>
      </c>
    </row>
    <row r="216" spans="1:11" x14ac:dyDescent="0.25">
      <c r="A216" s="22">
        <v>442</v>
      </c>
      <c r="B216" s="23">
        <v>45856</v>
      </c>
      <c r="C216" s="12" t="s">
        <v>28</v>
      </c>
      <c r="D216" s="12" t="s">
        <v>36</v>
      </c>
      <c r="E216" s="12" t="s">
        <v>39</v>
      </c>
      <c r="F216" s="12" t="s">
        <v>18</v>
      </c>
      <c r="G216" s="12" t="s">
        <v>14</v>
      </c>
      <c r="H216" s="24">
        <v>68.98</v>
      </c>
      <c r="I216" s="25">
        <v>36</v>
      </c>
      <c r="J216" s="26">
        <v>2483.2800000000002</v>
      </c>
      <c r="K216" s="27" t="str">
        <f>TEXT(Table1[[#This Row],[Date]],"MMMM")</f>
        <v>July</v>
      </c>
    </row>
    <row r="217" spans="1:11" x14ac:dyDescent="0.25">
      <c r="A217" s="22">
        <v>180</v>
      </c>
      <c r="B217" s="23">
        <v>45894</v>
      </c>
      <c r="C217" s="12" t="s">
        <v>28</v>
      </c>
      <c r="D217" s="12" t="s">
        <v>36</v>
      </c>
      <c r="E217" s="12" t="s">
        <v>29</v>
      </c>
      <c r="F217" s="12" t="s">
        <v>18</v>
      </c>
      <c r="G217" s="12" t="s">
        <v>14</v>
      </c>
      <c r="H217" s="24">
        <v>56.97</v>
      </c>
      <c r="I217" s="25">
        <v>4</v>
      </c>
      <c r="J217" s="26">
        <v>227.88</v>
      </c>
      <c r="K217" s="27" t="str">
        <f>TEXT(Table1[[#This Row],[Date]],"MMMM")</f>
        <v>August</v>
      </c>
    </row>
    <row r="218" spans="1:11" x14ac:dyDescent="0.25">
      <c r="A218" s="22">
        <v>54</v>
      </c>
      <c r="B218" s="23">
        <v>45680</v>
      </c>
      <c r="C218" s="12" t="s">
        <v>30</v>
      </c>
      <c r="D218" s="12" t="s">
        <v>31</v>
      </c>
      <c r="E218" s="12" t="s">
        <v>21</v>
      </c>
      <c r="F218" s="12" t="s">
        <v>18</v>
      </c>
      <c r="G218" s="12" t="s">
        <v>14</v>
      </c>
      <c r="H218" s="24">
        <v>86.51</v>
      </c>
      <c r="I218" s="25">
        <v>1</v>
      </c>
      <c r="J218" s="26">
        <v>86.51</v>
      </c>
      <c r="K218" s="27" t="str">
        <f>TEXT(Table1[[#This Row],[Date]],"MMMM")</f>
        <v>January</v>
      </c>
    </row>
    <row r="219" spans="1:11" x14ac:dyDescent="0.25">
      <c r="A219" s="22">
        <v>462</v>
      </c>
      <c r="B219" s="23">
        <v>45781</v>
      </c>
      <c r="C219" s="12" t="s">
        <v>35</v>
      </c>
      <c r="D219" s="12" t="s">
        <v>31</v>
      </c>
      <c r="E219" s="12" t="s">
        <v>32</v>
      </c>
      <c r="F219" s="12" t="s">
        <v>18</v>
      </c>
      <c r="G219" s="12" t="s">
        <v>14</v>
      </c>
      <c r="H219" s="24">
        <v>108.46</v>
      </c>
      <c r="I219" s="25">
        <v>39</v>
      </c>
      <c r="J219" s="26">
        <v>4229.9399999999996</v>
      </c>
      <c r="K219" s="27" t="str">
        <f>TEXT(Table1[[#This Row],[Date]],"MMMM")</f>
        <v>May</v>
      </c>
    </row>
    <row r="220" spans="1:11" x14ac:dyDescent="0.25">
      <c r="A220" s="22">
        <v>370</v>
      </c>
      <c r="B220" s="23">
        <v>45729</v>
      </c>
      <c r="C220" s="12" t="s">
        <v>15</v>
      </c>
      <c r="D220" s="12" t="s">
        <v>11</v>
      </c>
      <c r="E220" s="12" t="s">
        <v>34</v>
      </c>
      <c r="F220" s="12" t="s">
        <v>18</v>
      </c>
      <c r="G220" s="12" t="s">
        <v>14</v>
      </c>
      <c r="H220" s="24">
        <v>33.5</v>
      </c>
      <c r="I220" s="25">
        <v>42</v>
      </c>
      <c r="J220" s="26">
        <v>1407</v>
      </c>
      <c r="K220" s="27" t="str">
        <f>TEXT(Table1[[#This Row],[Date]],"MMMM")</f>
        <v>March</v>
      </c>
    </row>
    <row r="221" spans="1:11" x14ac:dyDescent="0.25">
      <c r="A221" s="22">
        <v>7</v>
      </c>
      <c r="B221" s="23">
        <v>45808</v>
      </c>
      <c r="C221" s="12" t="s">
        <v>28</v>
      </c>
      <c r="D221" s="12" t="s">
        <v>11</v>
      </c>
      <c r="E221" s="12" t="s">
        <v>29</v>
      </c>
      <c r="F221" s="12" t="s">
        <v>18</v>
      </c>
      <c r="G221" s="12" t="s">
        <v>14</v>
      </c>
      <c r="H221" s="24">
        <v>100.38</v>
      </c>
      <c r="I221" s="25">
        <v>40</v>
      </c>
      <c r="J221" s="26">
        <v>4015.2</v>
      </c>
      <c r="K221" s="27" t="str">
        <f>TEXT(Table1[[#This Row],[Date]],"MMMM")</f>
        <v>May</v>
      </c>
    </row>
    <row r="222" spans="1:11" x14ac:dyDescent="0.25">
      <c r="A222" s="22">
        <v>274</v>
      </c>
      <c r="B222" s="23">
        <v>45825</v>
      </c>
      <c r="C222" s="12" t="s">
        <v>15</v>
      </c>
      <c r="D222" s="12" t="s">
        <v>11</v>
      </c>
      <c r="E222" s="12" t="s">
        <v>39</v>
      </c>
      <c r="F222" s="12" t="s">
        <v>18</v>
      </c>
      <c r="G222" s="12" t="s">
        <v>14</v>
      </c>
      <c r="H222" s="24">
        <v>103.27</v>
      </c>
      <c r="I222" s="25">
        <v>29</v>
      </c>
      <c r="J222" s="26">
        <v>2994.83</v>
      </c>
      <c r="K222" s="27" t="str">
        <f>TEXT(Table1[[#This Row],[Date]],"MMMM")</f>
        <v>June</v>
      </c>
    </row>
    <row r="223" spans="1:11" x14ac:dyDescent="0.25">
      <c r="A223" s="22">
        <v>161</v>
      </c>
      <c r="B223" s="23">
        <v>45942</v>
      </c>
      <c r="C223" s="12" t="s">
        <v>10</v>
      </c>
      <c r="D223" s="12" t="s">
        <v>11</v>
      </c>
      <c r="E223" s="12" t="s">
        <v>21</v>
      </c>
      <c r="F223" s="12" t="s">
        <v>18</v>
      </c>
      <c r="G223" s="12" t="s">
        <v>14</v>
      </c>
      <c r="H223" s="24">
        <v>47.27</v>
      </c>
      <c r="I223" s="25">
        <v>49</v>
      </c>
      <c r="J223" s="26">
        <v>2316.23</v>
      </c>
      <c r="K223" s="27" t="str">
        <f>TEXT(Table1[[#This Row],[Date]],"MMMM")</f>
        <v>October</v>
      </c>
    </row>
    <row r="224" spans="1:11" x14ac:dyDescent="0.25">
      <c r="A224" s="22">
        <v>364</v>
      </c>
      <c r="B224" s="23">
        <v>45767</v>
      </c>
      <c r="C224" s="12" t="s">
        <v>30</v>
      </c>
      <c r="D224" s="12" t="s">
        <v>38</v>
      </c>
      <c r="E224" s="12" t="s">
        <v>17</v>
      </c>
      <c r="F224" s="12" t="s">
        <v>18</v>
      </c>
      <c r="G224" s="12" t="s">
        <v>14</v>
      </c>
      <c r="H224" s="24">
        <v>59.83</v>
      </c>
      <c r="I224" s="25">
        <v>9</v>
      </c>
      <c r="J224" s="26">
        <v>538.47</v>
      </c>
      <c r="K224" s="27" t="str">
        <f>TEXT(Table1[[#This Row],[Date]],"MMMM")</f>
        <v>April</v>
      </c>
    </row>
    <row r="225" spans="1:11" x14ac:dyDescent="0.25">
      <c r="A225" s="22">
        <v>290</v>
      </c>
      <c r="B225" s="23">
        <v>45788</v>
      </c>
      <c r="C225" s="12" t="s">
        <v>15</v>
      </c>
      <c r="D225" s="12" t="s">
        <v>38</v>
      </c>
      <c r="E225" s="12" t="s">
        <v>24</v>
      </c>
      <c r="F225" s="12" t="s">
        <v>18</v>
      </c>
      <c r="G225" s="12" t="s">
        <v>14</v>
      </c>
      <c r="H225" s="24">
        <v>28.38</v>
      </c>
      <c r="I225" s="25">
        <v>42</v>
      </c>
      <c r="J225" s="26">
        <v>1191.96</v>
      </c>
      <c r="K225" s="27" t="str">
        <f>TEXT(Table1[[#This Row],[Date]],"MMMM")</f>
        <v>May</v>
      </c>
    </row>
    <row r="226" spans="1:11" x14ac:dyDescent="0.25">
      <c r="A226" s="22">
        <v>357</v>
      </c>
      <c r="B226" s="23">
        <v>45907</v>
      </c>
      <c r="C226" s="12" t="s">
        <v>15</v>
      </c>
      <c r="D226" s="12" t="s">
        <v>38</v>
      </c>
      <c r="E226" s="12" t="s">
        <v>24</v>
      </c>
      <c r="F226" s="12" t="s">
        <v>18</v>
      </c>
      <c r="G226" s="12" t="s">
        <v>14</v>
      </c>
      <c r="H226" s="24">
        <v>42.64</v>
      </c>
      <c r="I226" s="25">
        <v>1</v>
      </c>
      <c r="J226" s="26">
        <v>42.64</v>
      </c>
      <c r="K226" s="27" t="str">
        <f>TEXT(Table1[[#This Row],[Date]],"MMMM")</f>
        <v>September</v>
      </c>
    </row>
    <row r="227" spans="1:11" x14ac:dyDescent="0.25">
      <c r="A227" s="22">
        <v>302</v>
      </c>
      <c r="B227" s="23">
        <v>45916</v>
      </c>
      <c r="C227" s="12" t="s">
        <v>27</v>
      </c>
      <c r="D227" s="12" t="s">
        <v>38</v>
      </c>
      <c r="E227" s="12" t="s">
        <v>17</v>
      </c>
      <c r="F227" s="12" t="s">
        <v>18</v>
      </c>
      <c r="G227" s="12" t="s">
        <v>14</v>
      </c>
      <c r="H227" s="24">
        <v>57.44</v>
      </c>
      <c r="I227" s="25">
        <v>4</v>
      </c>
      <c r="J227" s="26">
        <v>229.76</v>
      </c>
      <c r="K227" s="27" t="str">
        <f>TEXT(Table1[[#This Row],[Date]],"MMMM")</f>
        <v>September</v>
      </c>
    </row>
    <row r="228" spans="1:11" x14ac:dyDescent="0.25">
      <c r="A228" s="22">
        <v>112</v>
      </c>
      <c r="B228" s="23">
        <v>45939</v>
      </c>
      <c r="C228" s="12" t="s">
        <v>27</v>
      </c>
      <c r="D228" s="12" t="s">
        <v>38</v>
      </c>
      <c r="E228" s="12" t="s">
        <v>29</v>
      </c>
      <c r="F228" s="12" t="s">
        <v>18</v>
      </c>
      <c r="G228" s="12" t="s">
        <v>14</v>
      </c>
      <c r="H228" s="24">
        <v>20.07</v>
      </c>
      <c r="I228" s="25">
        <v>19</v>
      </c>
      <c r="J228" s="26">
        <v>381.33</v>
      </c>
      <c r="K228" s="27" t="str">
        <f>TEXT(Table1[[#This Row],[Date]],"MMMM")</f>
        <v>October</v>
      </c>
    </row>
    <row r="229" spans="1:11" x14ac:dyDescent="0.25">
      <c r="A229" s="22">
        <v>440</v>
      </c>
      <c r="B229" s="23">
        <v>45743</v>
      </c>
      <c r="C229" s="12" t="s">
        <v>23</v>
      </c>
      <c r="D229" s="12" t="s">
        <v>40</v>
      </c>
      <c r="E229" s="12" t="s">
        <v>21</v>
      </c>
      <c r="F229" s="12" t="s">
        <v>18</v>
      </c>
      <c r="G229" s="12" t="s">
        <v>14</v>
      </c>
      <c r="H229" s="24">
        <v>116.8</v>
      </c>
      <c r="I229" s="25">
        <v>13</v>
      </c>
      <c r="J229" s="26">
        <v>1518.4</v>
      </c>
      <c r="K229" s="27" t="str">
        <f>TEXT(Table1[[#This Row],[Date]],"MMMM")</f>
        <v>March</v>
      </c>
    </row>
    <row r="230" spans="1:11" x14ac:dyDescent="0.25">
      <c r="A230" s="22">
        <v>44</v>
      </c>
      <c r="B230" s="23">
        <v>45792</v>
      </c>
      <c r="C230" s="12" t="s">
        <v>35</v>
      </c>
      <c r="D230" s="12" t="s">
        <v>40</v>
      </c>
      <c r="E230" s="12" t="s">
        <v>29</v>
      </c>
      <c r="F230" s="12" t="s">
        <v>18</v>
      </c>
      <c r="G230" s="12" t="s">
        <v>14</v>
      </c>
      <c r="H230" s="24">
        <v>23.58</v>
      </c>
      <c r="I230" s="25">
        <v>29</v>
      </c>
      <c r="J230" s="26">
        <v>683.82</v>
      </c>
      <c r="K230" s="27" t="str">
        <f>TEXT(Table1[[#This Row],[Date]],"MMMM")</f>
        <v>May</v>
      </c>
    </row>
    <row r="231" spans="1:11" x14ac:dyDescent="0.25">
      <c r="A231" s="22">
        <v>24</v>
      </c>
      <c r="B231" s="23">
        <v>46020</v>
      </c>
      <c r="C231" s="12" t="s">
        <v>15</v>
      </c>
      <c r="D231" s="12" t="s">
        <v>40</v>
      </c>
      <c r="E231" s="12" t="s">
        <v>24</v>
      </c>
      <c r="F231" s="12" t="s">
        <v>18</v>
      </c>
      <c r="G231" s="12" t="s">
        <v>14</v>
      </c>
      <c r="H231" s="24">
        <v>77.58</v>
      </c>
      <c r="I231" s="25">
        <v>15</v>
      </c>
      <c r="J231" s="26">
        <v>1163.7</v>
      </c>
      <c r="K231" s="27" t="str">
        <f>TEXT(Table1[[#This Row],[Date]],"MMMM")</f>
        <v>December</v>
      </c>
    </row>
    <row r="232" spans="1:11" x14ac:dyDescent="0.25">
      <c r="A232" s="22">
        <v>247</v>
      </c>
      <c r="B232" s="23">
        <v>45666</v>
      </c>
      <c r="C232" s="12" t="s">
        <v>15</v>
      </c>
      <c r="D232" s="12" t="s">
        <v>16</v>
      </c>
      <c r="E232" s="12" t="s">
        <v>34</v>
      </c>
      <c r="F232" s="12" t="s">
        <v>18</v>
      </c>
      <c r="G232" s="12" t="s">
        <v>14</v>
      </c>
      <c r="H232" s="24">
        <v>47.36</v>
      </c>
      <c r="I232" s="25">
        <v>44</v>
      </c>
      <c r="J232" s="26">
        <v>2083.84</v>
      </c>
      <c r="K232" s="27" t="str">
        <f>TEXT(Table1[[#This Row],[Date]],"MMMM")</f>
        <v>January</v>
      </c>
    </row>
    <row r="233" spans="1:11" x14ac:dyDescent="0.25">
      <c r="A233" s="22">
        <v>79</v>
      </c>
      <c r="B233" s="23">
        <v>45671</v>
      </c>
      <c r="C233" s="12" t="s">
        <v>35</v>
      </c>
      <c r="D233" s="12" t="s">
        <v>16</v>
      </c>
      <c r="E233" s="12" t="s">
        <v>12</v>
      </c>
      <c r="F233" s="12" t="s">
        <v>18</v>
      </c>
      <c r="G233" s="12" t="s">
        <v>14</v>
      </c>
      <c r="H233" s="24">
        <v>111.82</v>
      </c>
      <c r="I233" s="25">
        <v>37</v>
      </c>
      <c r="J233" s="26">
        <v>4137.34</v>
      </c>
      <c r="K233" s="27" t="str">
        <f>TEXT(Table1[[#This Row],[Date]],"MMMM")</f>
        <v>January</v>
      </c>
    </row>
    <row r="234" spans="1:11" x14ac:dyDescent="0.25">
      <c r="A234" s="22">
        <v>338</v>
      </c>
      <c r="B234" s="23">
        <v>45672</v>
      </c>
      <c r="C234" s="12" t="s">
        <v>27</v>
      </c>
      <c r="D234" s="12" t="s">
        <v>16</v>
      </c>
      <c r="E234" s="12" t="s">
        <v>21</v>
      </c>
      <c r="F234" s="12" t="s">
        <v>18</v>
      </c>
      <c r="G234" s="12" t="s">
        <v>14</v>
      </c>
      <c r="H234" s="24">
        <v>89.8</v>
      </c>
      <c r="I234" s="25">
        <v>13</v>
      </c>
      <c r="J234" s="26">
        <v>1167.4000000000001</v>
      </c>
      <c r="K234" s="27" t="str">
        <f>TEXT(Table1[[#This Row],[Date]],"MMMM")</f>
        <v>January</v>
      </c>
    </row>
    <row r="235" spans="1:11" x14ac:dyDescent="0.25">
      <c r="A235" s="22">
        <v>132</v>
      </c>
      <c r="B235" s="23">
        <v>45809</v>
      </c>
      <c r="C235" s="12" t="s">
        <v>20</v>
      </c>
      <c r="D235" s="12" t="s">
        <v>16</v>
      </c>
      <c r="E235" s="12" t="s">
        <v>34</v>
      </c>
      <c r="F235" s="12" t="s">
        <v>18</v>
      </c>
      <c r="G235" s="12" t="s">
        <v>14</v>
      </c>
      <c r="H235" s="24">
        <v>119.16</v>
      </c>
      <c r="I235" s="25">
        <v>19</v>
      </c>
      <c r="J235" s="26">
        <v>2264.04</v>
      </c>
      <c r="K235" s="27" t="str">
        <f>TEXT(Table1[[#This Row],[Date]],"MMMM")</f>
        <v>June</v>
      </c>
    </row>
    <row r="236" spans="1:11" x14ac:dyDescent="0.25">
      <c r="A236" s="22">
        <v>275</v>
      </c>
      <c r="B236" s="23">
        <v>45886</v>
      </c>
      <c r="C236" s="12" t="s">
        <v>23</v>
      </c>
      <c r="D236" s="12" t="s">
        <v>16</v>
      </c>
      <c r="E236" s="12" t="s">
        <v>39</v>
      </c>
      <c r="F236" s="12" t="s">
        <v>18</v>
      </c>
      <c r="G236" s="12" t="s">
        <v>14</v>
      </c>
      <c r="H236" s="24">
        <v>98</v>
      </c>
      <c r="I236" s="25">
        <v>30</v>
      </c>
      <c r="J236" s="26">
        <v>2940</v>
      </c>
      <c r="K236" s="27" t="str">
        <f>TEXT(Table1[[#This Row],[Date]],"MMMM")</f>
        <v>August</v>
      </c>
    </row>
    <row r="237" spans="1:11" x14ac:dyDescent="0.25">
      <c r="A237" s="22">
        <v>276</v>
      </c>
      <c r="B237" s="23">
        <v>45894</v>
      </c>
      <c r="C237" s="12" t="s">
        <v>20</v>
      </c>
      <c r="D237" s="12" t="s">
        <v>16</v>
      </c>
      <c r="E237" s="12" t="s">
        <v>34</v>
      </c>
      <c r="F237" s="12" t="s">
        <v>18</v>
      </c>
      <c r="G237" s="12" t="s">
        <v>14</v>
      </c>
      <c r="H237" s="24">
        <v>82.37</v>
      </c>
      <c r="I237" s="25">
        <v>20</v>
      </c>
      <c r="J237" s="26">
        <v>1647.4</v>
      </c>
      <c r="K237" s="27" t="str">
        <f>TEXT(Table1[[#This Row],[Date]],"MMMM")</f>
        <v>August</v>
      </c>
    </row>
    <row r="238" spans="1:11" x14ac:dyDescent="0.25">
      <c r="A238" s="22">
        <v>463</v>
      </c>
      <c r="B238" s="23">
        <v>45912</v>
      </c>
      <c r="C238" s="12" t="s">
        <v>35</v>
      </c>
      <c r="D238" s="12" t="s">
        <v>16</v>
      </c>
      <c r="E238" s="12" t="s">
        <v>21</v>
      </c>
      <c r="F238" s="12" t="s">
        <v>18</v>
      </c>
      <c r="G238" s="12" t="s">
        <v>14</v>
      </c>
      <c r="H238" s="24">
        <v>119.71</v>
      </c>
      <c r="I238" s="25">
        <v>17</v>
      </c>
      <c r="J238" s="26">
        <v>2035.07</v>
      </c>
      <c r="K238" s="27" t="str">
        <f>TEXT(Table1[[#This Row],[Date]],"MMMM")</f>
        <v>September</v>
      </c>
    </row>
    <row r="239" spans="1:11" x14ac:dyDescent="0.25">
      <c r="A239" s="22">
        <v>375</v>
      </c>
      <c r="B239" s="23">
        <v>45917</v>
      </c>
      <c r="C239" s="12" t="s">
        <v>35</v>
      </c>
      <c r="D239" s="12" t="s">
        <v>16</v>
      </c>
      <c r="E239" s="12" t="s">
        <v>21</v>
      </c>
      <c r="F239" s="12" t="s">
        <v>18</v>
      </c>
      <c r="G239" s="12" t="s">
        <v>14</v>
      </c>
      <c r="H239" s="24">
        <v>37.950000000000003</v>
      </c>
      <c r="I239" s="25">
        <v>46</v>
      </c>
      <c r="J239" s="26">
        <v>1745.7</v>
      </c>
      <c r="K239" s="27" t="str">
        <f>TEXT(Table1[[#This Row],[Date]],"MMMM")</f>
        <v>September</v>
      </c>
    </row>
    <row r="240" spans="1:11" x14ac:dyDescent="0.25">
      <c r="A240" s="22">
        <v>203</v>
      </c>
      <c r="B240" s="23">
        <v>45927</v>
      </c>
      <c r="C240" s="12" t="s">
        <v>20</v>
      </c>
      <c r="D240" s="12" t="s">
        <v>16</v>
      </c>
      <c r="E240" s="12" t="s">
        <v>39</v>
      </c>
      <c r="F240" s="12" t="s">
        <v>18</v>
      </c>
      <c r="G240" s="12" t="s">
        <v>14</v>
      </c>
      <c r="H240" s="24">
        <v>67.569999999999993</v>
      </c>
      <c r="I240" s="25">
        <v>33</v>
      </c>
      <c r="J240" s="26">
        <v>2229.81</v>
      </c>
      <c r="K240" s="27" t="str">
        <f>TEXT(Table1[[#This Row],[Date]],"MMMM")</f>
        <v>September</v>
      </c>
    </row>
    <row r="241" spans="1:11" x14ac:dyDescent="0.25">
      <c r="A241" s="22">
        <v>139</v>
      </c>
      <c r="B241" s="23">
        <v>45932</v>
      </c>
      <c r="C241" s="12" t="s">
        <v>10</v>
      </c>
      <c r="D241" s="12" t="s">
        <v>16</v>
      </c>
      <c r="E241" s="12" t="s">
        <v>24</v>
      </c>
      <c r="F241" s="12" t="s">
        <v>18</v>
      </c>
      <c r="G241" s="12" t="s">
        <v>14</v>
      </c>
      <c r="H241" s="24">
        <v>19.21</v>
      </c>
      <c r="I241" s="25">
        <v>24</v>
      </c>
      <c r="J241" s="26">
        <v>461.04</v>
      </c>
      <c r="K241" s="27" t="str">
        <f>TEXT(Table1[[#This Row],[Date]],"MMMM")</f>
        <v>October</v>
      </c>
    </row>
    <row r="242" spans="1:11" x14ac:dyDescent="0.25">
      <c r="A242" s="22">
        <v>311</v>
      </c>
      <c r="B242" s="23">
        <v>45946</v>
      </c>
      <c r="C242" s="12" t="s">
        <v>28</v>
      </c>
      <c r="D242" s="12" t="s">
        <v>16</v>
      </c>
      <c r="E242" s="12" t="s">
        <v>32</v>
      </c>
      <c r="F242" s="12" t="s">
        <v>18</v>
      </c>
      <c r="G242" s="12" t="s">
        <v>14</v>
      </c>
      <c r="H242" s="24">
        <v>32.65</v>
      </c>
      <c r="I242" s="25">
        <v>25</v>
      </c>
      <c r="J242" s="26">
        <v>816.25</v>
      </c>
      <c r="K242" s="27" t="str">
        <f>TEXT(Table1[[#This Row],[Date]],"MMMM")</f>
        <v>October</v>
      </c>
    </row>
    <row r="243" spans="1:11" x14ac:dyDescent="0.25">
      <c r="A243" s="22">
        <v>20</v>
      </c>
      <c r="B243" s="23">
        <v>45815</v>
      </c>
      <c r="C243" s="12" t="s">
        <v>15</v>
      </c>
      <c r="D243" s="12" t="s">
        <v>26</v>
      </c>
      <c r="E243" s="12" t="s">
        <v>39</v>
      </c>
      <c r="F243" s="12" t="s">
        <v>18</v>
      </c>
      <c r="G243" s="12" t="s">
        <v>14</v>
      </c>
      <c r="H243" s="24">
        <v>32.54</v>
      </c>
      <c r="I243" s="25">
        <v>16</v>
      </c>
      <c r="J243" s="26">
        <v>520.64</v>
      </c>
      <c r="K243" s="27" t="str">
        <f>TEXT(Table1[[#This Row],[Date]],"MMMM")</f>
        <v>June</v>
      </c>
    </row>
    <row r="244" spans="1:11" x14ac:dyDescent="0.25">
      <c r="A244" s="22">
        <v>6</v>
      </c>
      <c r="B244" s="23">
        <v>45834</v>
      </c>
      <c r="C244" s="12" t="s">
        <v>27</v>
      </c>
      <c r="D244" s="12" t="s">
        <v>26</v>
      </c>
      <c r="E244" s="12" t="s">
        <v>21</v>
      </c>
      <c r="F244" s="12" t="s">
        <v>18</v>
      </c>
      <c r="G244" s="12" t="s">
        <v>14</v>
      </c>
      <c r="H244" s="24">
        <v>74.430000000000007</v>
      </c>
      <c r="I244" s="25">
        <v>3</v>
      </c>
      <c r="J244" s="26">
        <v>223.29</v>
      </c>
      <c r="K244" s="27" t="str">
        <f>TEXT(Table1[[#This Row],[Date]],"MMMM")</f>
        <v>June</v>
      </c>
    </row>
    <row r="245" spans="1:11" x14ac:dyDescent="0.25">
      <c r="A245" s="22">
        <v>74</v>
      </c>
      <c r="B245" s="23">
        <v>45852</v>
      </c>
      <c r="C245" s="12" t="s">
        <v>10</v>
      </c>
      <c r="D245" s="12" t="s">
        <v>26</v>
      </c>
      <c r="E245" s="12" t="s">
        <v>39</v>
      </c>
      <c r="F245" s="12" t="s">
        <v>18</v>
      </c>
      <c r="G245" s="12" t="s">
        <v>14</v>
      </c>
      <c r="H245" s="24">
        <v>37</v>
      </c>
      <c r="I245" s="25">
        <v>27</v>
      </c>
      <c r="J245" s="26">
        <v>999</v>
      </c>
      <c r="K245" s="27" t="str">
        <f>TEXT(Table1[[#This Row],[Date]],"MMMM")</f>
        <v>July</v>
      </c>
    </row>
    <row r="246" spans="1:11" x14ac:dyDescent="0.25">
      <c r="A246" s="22">
        <v>182</v>
      </c>
      <c r="B246" s="23">
        <v>45901</v>
      </c>
      <c r="C246" s="12" t="s">
        <v>27</v>
      </c>
      <c r="D246" s="12" t="s">
        <v>26</v>
      </c>
      <c r="E246" s="12" t="s">
        <v>24</v>
      </c>
      <c r="F246" s="12" t="s">
        <v>18</v>
      </c>
      <c r="G246" s="12" t="s">
        <v>14</v>
      </c>
      <c r="H246" s="24">
        <v>62.66</v>
      </c>
      <c r="I246" s="25">
        <v>4</v>
      </c>
      <c r="J246" s="26">
        <v>250.64</v>
      </c>
      <c r="K246" s="27" t="str">
        <f>TEXT(Table1[[#This Row],[Date]],"MMMM")</f>
        <v>September</v>
      </c>
    </row>
    <row r="247" spans="1:11" x14ac:dyDescent="0.25">
      <c r="A247" s="22">
        <v>376</v>
      </c>
      <c r="B247" s="23">
        <v>45932</v>
      </c>
      <c r="C247" s="12" t="s">
        <v>10</v>
      </c>
      <c r="D247" s="12" t="s">
        <v>26</v>
      </c>
      <c r="E247" s="12" t="s">
        <v>34</v>
      </c>
      <c r="F247" s="12" t="s">
        <v>18</v>
      </c>
      <c r="G247" s="12" t="s">
        <v>14</v>
      </c>
      <c r="H247" s="24">
        <v>66.83</v>
      </c>
      <c r="I247" s="25">
        <v>10</v>
      </c>
      <c r="J247" s="26">
        <v>668.3</v>
      </c>
      <c r="K247" s="27" t="str">
        <f>TEXT(Table1[[#This Row],[Date]],"MMMM")</f>
        <v>October</v>
      </c>
    </row>
    <row r="248" spans="1:11" x14ac:dyDescent="0.25">
      <c r="A248" s="22">
        <v>121</v>
      </c>
      <c r="B248" s="23">
        <v>45960</v>
      </c>
      <c r="C248" s="12" t="s">
        <v>27</v>
      </c>
      <c r="D248" s="12" t="s">
        <v>26</v>
      </c>
      <c r="E248" s="12" t="s">
        <v>39</v>
      </c>
      <c r="F248" s="12" t="s">
        <v>18</v>
      </c>
      <c r="G248" s="12" t="s">
        <v>14</v>
      </c>
      <c r="H248" s="24">
        <v>43.18</v>
      </c>
      <c r="I248" s="25">
        <v>7</v>
      </c>
      <c r="J248" s="26">
        <v>302.26</v>
      </c>
      <c r="K248" s="27" t="str">
        <f>TEXT(Table1[[#This Row],[Date]],"MMMM")</f>
        <v>October</v>
      </c>
    </row>
    <row r="249" spans="1:11" x14ac:dyDescent="0.25">
      <c r="A249" s="22">
        <v>220</v>
      </c>
      <c r="B249" s="23">
        <v>45720</v>
      </c>
      <c r="C249" s="12" t="s">
        <v>27</v>
      </c>
      <c r="D249" s="12" t="s">
        <v>37</v>
      </c>
      <c r="E249" s="12" t="s">
        <v>39</v>
      </c>
      <c r="F249" s="12" t="s">
        <v>18</v>
      </c>
      <c r="G249" s="12" t="s">
        <v>14</v>
      </c>
      <c r="H249" s="24">
        <v>20.61</v>
      </c>
      <c r="I249" s="25">
        <v>5</v>
      </c>
      <c r="J249" s="26">
        <v>103.05</v>
      </c>
      <c r="K249" s="27" t="str">
        <f>TEXT(Table1[[#This Row],[Date]],"MMMM")</f>
        <v>March</v>
      </c>
    </row>
    <row r="250" spans="1:11" x14ac:dyDescent="0.25">
      <c r="A250" s="22">
        <v>127</v>
      </c>
      <c r="B250" s="23">
        <v>45783</v>
      </c>
      <c r="C250" s="12" t="s">
        <v>23</v>
      </c>
      <c r="D250" s="12" t="s">
        <v>37</v>
      </c>
      <c r="E250" s="12" t="s">
        <v>32</v>
      </c>
      <c r="F250" s="12" t="s">
        <v>18</v>
      </c>
      <c r="G250" s="12" t="s">
        <v>14</v>
      </c>
      <c r="H250" s="24">
        <v>66.08</v>
      </c>
      <c r="I250" s="25">
        <v>37</v>
      </c>
      <c r="J250" s="26">
        <v>2444.96</v>
      </c>
      <c r="K250" s="27" t="str">
        <f>TEXT(Table1[[#This Row],[Date]],"MMMM")</f>
        <v>May</v>
      </c>
    </row>
    <row r="251" spans="1:11" x14ac:dyDescent="0.25">
      <c r="A251" s="22">
        <v>367</v>
      </c>
      <c r="B251" s="23">
        <v>45853</v>
      </c>
      <c r="C251" s="12" t="s">
        <v>23</v>
      </c>
      <c r="D251" s="12" t="s">
        <v>37</v>
      </c>
      <c r="E251" s="12" t="s">
        <v>29</v>
      </c>
      <c r="F251" s="12" t="s">
        <v>18</v>
      </c>
      <c r="G251" s="12" t="s">
        <v>14</v>
      </c>
      <c r="H251" s="24">
        <v>93.95</v>
      </c>
      <c r="I251" s="25">
        <v>49</v>
      </c>
      <c r="J251" s="26">
        <v>4603.55</v>
      </c>
      <c r="K251" s="27" t="str">
        <f>TEXT(Table1[[#This Row],[Date]],"MMMM")</f>
        <v>July</v>
      </c>
    </row>
    <row r="252" spans="1:11" x14ac:dyDescent="0.25">
      <c r="A252" s="22">
        <v>379</v>
      </c>
      <c r="B252" s="23">
        <v>45890</v>
      </c>
      <c r="C252" s="12" t="s">
        <v>10</v>
      </c>
      <c r="D252" s="12" t="s">
        <v>37</v>
      </c>
      <c r="E252" s="12" t="s">
        <v>29</v>
      </c>
      <c r="F252" s="12" t="s">
        <v>18</v>
      </c>
      <c r="G252" s="12" t="s">
        <v>14</v>
      </c>
      <c r="H252" s="24">
        <v>75.41</v>
      </c>
      <c r="I252" s="25">
        <v>4</v>
      </c>
      <c r="J252" s="26">
        <v>301.64</v>
      </c>
      <c r="K252" s="27" t="str">
        <f>TEXT(Table1[[#This Row],[Date]],"MMMM")</f>
        <v>August</v>
      </c>
    </row>
    <row r="253" spans="1:11" x14ac:dyDescent="0.25">
      <c r="A253" s="22">
        <v>383</v>
      </c>
      <c r="B253" s="23">
        <v>45913</v>
      </c>
      <c r="C253" s="12" t="s">
        <v>28</v>
      </c>
      <c r="D253" s="12" t="s">
        <v>37</v>
      </c>
      <c r="E253" s="12" t="s">
        <v>34</v>
      </c>
      <c r="F253" s="12" t="s">
        <v>18</v>
      </c>
      <c r="G253" s="12" t="s">
        <v>14</v>
      </c>
      <c r="H253" s="24">
        <v>103.83</v>
      </c>
      <c r="I253" s="25">
        <v>11</v>
      </c>
      <c r="J253" s="26">
        <v>1142.1300000000001</v>
      </c>
      <c r="K253" s="27" t="str">
        <f>TEXT(Table1[[#This Row],[Date]],"MMMM")</f>
        <v>September</v>
      </c>
    </row>
    <row r="254" spans="1:11" x14ac:dyDescent="0.25">
      <c r="A254" s="22">
        <v>193</v>
      </c>
      <c r="B254" s="23">
        <v>45915</v>
      </c>
      <c r="C254" s="12" t="s">
        <v>30</v>
      </c>
      <c r="D254" s="12" t="s">
        <v>37</v>
      </c>
      <c r="E254" s="12" t="s">
        <v>34</v>
      </c>
      <c r="F254" s="12" t="s">
        <v>18</v>
      </c>
      <c r="G254" s="12" t="s">
        <v>14</v>
      </c>
      <c r="H254" s="24">
        <v>65.66</v>
      </c>
      <c r="I254" s="25">
        <v>11</v>
      </c>
      <c r="J254" s="26">
        <v>722.26</v>
      </c>
      <c r="K254" s="27" t="str">
        <f>TEXT(Table1[[#This Row],[Date]],"MMMM")</f>
        <v>September</v>
      </c>
    </row>
    <row r="255" spans="1:11" x14ac:dyDescent="0.25">
      <c r="A255" s="22">
        <v>34</v>
      </c>
      <c r="B255" s="23">
        <v>45929</v>
      </c>
      <c r="C255" s="12" t="s">
        <v>15</v>
      </c>
      <c r="D255" s="12" t="s">
        <v>37</v>
      </c>
      <c r="E255" s="12" t="s">
        <v>29</v>
      </c>
      <c r="F255" s="12" t="s">
        <v>18</v>
      </c>
      <c r="G255" s="12" t="s">
        <v>14</v>
      </c>
      <c r="H255" s="24">
        <v>23.1</v>
      </c>
      <c r="I255" s="25">
        <v>33</v>
      </c>
      <c r="J255" s="26">
        <v>762.3</v>
      </c>
      <c r="K255" s="27" t="str">
        <f>TEXT(Table1[[#This Row],[Date]],"MMMM")</f>
        <v>September</v>
      </c>
    </row>
    <row r="256" spans="1:11" x14ac:dyDescent="0.25">
      <c r="A256" s="22">
        <v>78</v>
      </c>
      <c r="B256" s="23">
        <v>45968</v>
      </c>
      <c r="C256" s="12" t="s">
        <v>15</v>
      </c>
      <c r="D256" s="12" t="s">
        <v>37</v>
      </c>
      <c r="E256" s="12" t="s">
        <v>34</v>
      </c>
      <c r="F256" s="12" t="s">
        <v>18</v>
      </c>
      <c r="G256" s="12" t="s">
        <v>14</v>
      </c>
      <c r="H256" s="24">
        <v>115.83</v>
      </c>
      <c r="I256" s="25">
        <v>46</v>
      </c>
      <c r="J256" s="26">
        <v>5328.18</v>
      </c>
      <c r="K256" s="27" t="str">
        <f>TEXT(Table1[[#This Row],[Date]],"MMMM")</f>
        <v>November</v>
      </c>
    </row>
    <row r="257" spans="1:11" x14ac:dyDescent="0.25">
      <c r="A257" s="22">
        <v>249</v>
      </c>
      <c r="B257" s="23">
        <v>45980</v>
      </c>
      <c r="C257" s="12" t="s">
        <v>35</v>
      </c>
      <c r="D257" s="12" t="s">
        <v>37</v>
      </c>
      <c r="E257" s="12" t="s">
        <v>12</v>
      </c>
      <c r="F257" s="12" t="s">
        <v>18</v>
      </c>
      <c r="G257" s="12" t="s">
        <v>14</v>
      </c>
      <c r="H257" s="24">
        <v>87.94</v>
      </c>
      <c r="I257" s="25">
        <v>50</v>
      </c>
      <c r="J257" s="26">
        <v>4397</v>
      </c>
      <c r="K257" s="27" t="str">
        <f>TEXT(Table1[[#This Row],[Date]],"MMMM")</f>
        <v>November</v>
      </c>
    </row>
    <row r="258" spans="1:11" x14ac:dyDescent="0.25">
      <c r="A258" s="22">
        <v>209</v>
      </c>
      <c r="B258" s="23">
        <v>45840</v>
      </c>
      <c r="C258" s="12" t="s">
        <v>28</v>
      </c>
      <c r="D258" s="12" t="s">
        <v>36</v>
      </c>
      <c r="E258" s="12" t="s">
        <v>29</v>
      </c>
      <c r="F258" s="12" t="s">
        <v>25</v>
      </c>
      <c r="G258" s="12" t="s">
        <v>22</v>
      </c>
      <c r="H258" s="24">
        <v>104.15</v>
      </c>
      <c r="I258" s="25">
        <v>4</v>
      </c>
      <c r="J258" s="26">
        <v>416.6</v>
      </c>
      <c r="K258" s="27" t="str">
        <f>TEXT(Table1[[#This Row],[Date]],"MMMM")</f>
        <v>July</v>
      </c>
    </row>
    <row r="259" spans="1:11" x14ac:dyDescent="0.25">
      <c r="A259" s="22">
        <v>136</v>
      </c>
      <c r="B259" s="23">
        <v>45870</v>
      </c>
      <c r="C259" s="12" t="s">
        <v>28</v>
      </c>
      <c r="D259" s="12" t="s">
        <v>36</v>
      </c>
      <c r="E259" s="12" t="s">
        <v>32</v>
      </c>
      <c r="F259" s="12" t="s">
        <v>25</v>
      </c>
      <c r="G259" s="12" t="s">
        <v>22</v>
      </c>
      <c r="H259" s="24">
        <v>25.2</v>
      </c>
      <c r="I259" s="25">
        <v>9</v>
      </c>
      <c r="J259" s="26">
        <v>226.8</v>
      </c>
      <c r="K259" s="27" t="str">
        <f>TEXT(Table1[[#This Row],[Date]],"MMMM")</f>
        <v>August</v>
      </c>
    </row>
    <row r="260" spans="1:11" x14ac:dyDescent="0.25">
      <c r="A260" s="22">
        <v>490</v>
      </c>
      <c r="B260" s="23">
        <v>45989</v>
      </c>
      <c r="C260" s="12" t="s">
        <v>27</v>
      </c>
      <c r="D260" s="12" t="s">
        <v>36</v>
      </c>
      <c r="E260" s="12" t="s">
        <v>29</v>
      </c>
      <c r="F260" s="12" t="s">
        <v>25</v>
      </c>
      <c r="G260" s="12" t="s">
        <v>22</v>
      </c>
      <c r="H260" s="24">
        <v>24.61</v>
      </c>
      <c r="I260" s="25">
        <v>23</v>
      </c>
      <c r="J260" s="26">
        <v>566.03</v>
      </c>
      <c r="K260" s="27" t="str">
        <f>TEXT(Table1[[#This Row],[Date]],"MMMM")</f>
        <v>November</v>
      </c>
    </row>
    <row r="261" spans="1:11" x14ac:dyDescent="0.25">
      <c r="A261" s="22">
        <v>452</v>
      </c>
      <c r="B261" s="23">
        <v>45687</v>
      </c>
      <c r="C261" s="12" t="s">
        <v>20</v>
      </c>
      <c r="D261" s="12" t="s">
        <v>31</v>
      </c>
      <c r="E261" s="12" t="s">
        <v>12</v>
      </c>
      <c r="F261" s="12" t="s">
        <v>25</v>
      </c>
      <c r="G261" s="12" t="s">
        <v>22</v>
      </c>
      <c r="H261" s="24">
        <v>33.69</v>
      </c>
      <c r="I261" s="25">
        <v>30</v>
      </c>
      <c r="J261" s="26">
        <v>1010.7</v>
      </c>
      <c r="K261" s="27" t="str">
        <f>TEXT(Table1[[#This Row],[Date]],"MMMM")</f>
        <v>January</v>
      </c>
    </row>
    <row r="262" spans="1:11" x14ac:dyDescent="0.25">
      <c r="A262" s="22">
        <v>447</v>
      </c>
      <c r="B262" s="23">
        <v>45779</v>
      </c>
      <c r="C262" s="12" t="s">
        <v>10</v>
      </c>
      <c r="D262" s="12" t="s">
        <v>31</v>
      </c>
      <c r="E262" s="12" t="s">
        <v>17</v>
      </c>
      <c r="F262" s="12" t="s">
        <v>25</v>
      </c>
      <c r="G262" s="12" t="s">
        <v>22</v>
      </c>
      <c r="H262" s="24">
        <v>10.67</v>
      </c>
      <c r="I262" s="25">
        <v>31</v>
      </c>
      <c r="J262" s="26">
        <v>330.77</v>
      </c>
      <c r="K262" s="27" t="str">
        <f>TEXT(Table1[[#This Row],[Date]],"MMMM")</f>
        <v>May</v>
      </c>
    </row>
    <row r="263" spans="1:11" x14ac:dyDescent="0.25">
      <c r="A263" s="22">
        <v>164</v>
      </c>
      <c r="B263" s="23">
        <v>45929</v>
      </c>
      <c r="C263" s="12" t="s">
        <v>27</v>
      </c>
      <c r="D263" s="12" t="s">
        <v>31</v>
      </c>
      <c r="E263" s="12" t="s">
        <v>32</v>
      </c>
      <c r="F263" s="12" t="s">
        <v>25</v>
      </c>
      <c r="G263" s="12" t="s">
        <v>22</v>
      </c>
      <c r="H263" s="24">
        <v>29.74</v>
      </c>
      <c r="I263" s="25">
        <v>27</v>
      </c>
      <c r="J263" s="26">
        <v>802.98</v>
      </c>
      <c r="K263" s="27" t="str">
        <f>TEXT(Table1[[#This Row],[Date]],"MMMM")</f>
        <v>September</v>
      </c>
    </row>
    <row r="264" spans="1:11" x14ac:dyDescent="0.25">
      <c r="A264" s="22">
        <v>154</v>
      </c>
      <c r="B264" s="23">
        <v>45969</v>
      </c>
      <c r="C264" s="12" t="s">
        <v>10</v>
      </c>
      <c r="D264" s="12" t="s">
        <v>31</v>
      </c>
      <c r="E264" s="12" t="s">
        <v>21</v>
      </c>
      <c r="F264" s="12" t="s">
        <v>25</v>
      </c>
      <c r="G264" s="12" t="s">
        <v>22</v>
      </c>
      <c r="H264" s="24">
        <v>22.06</v>
      </c>
      <c r="I264" s="25">
        <v>9</v>
      </c>
      <c r="J264" s="26">
        <v>198.54</v>
      </c>
      <c r="K264" s="27" t="str">
        <f>TEXT(Table1[[#This Row],[Date]],"MMMM")</f>
        <v>November</v>
      </c>
    </row>
    <row r="265" spans="1:11" x14ac:dyDescent="0.25">
      <c r="A265" s="22">
        <v>246</v>
      </c>
      <c r="B265" s="23">
        <v>45971</v>
      </c>
      <c r="C265" s="12" t="s">
        <v>10</v>
      </c>
      <c r="D265" s="12" t="s">
        <v>31</v>
      </c>
      <c r="E265" s="12" t="s">
        <v>39</v>
      </c>
      <c r="F265" s="12" t="s">
        <v>25</v>
      </c>
      <c r="G265" s="12" t="s">
        <v>22</v>
      </c>
      <c r="H265" s="24">
        <v>41.63</v>
      </c>
      <c r="I265" s="25">
        <v>26</v>
      </c>
      <c r="J265" s="26">
        <v>1082.3800000000001</v>
      </c>
      <c r="K265" s="27" t="str">
        <f>TEXT(Table1[[#This Row],[Date]],"MMMM")</f>
        <v>November</v>
      </c>
    </row>
    <row r="266" spans="1:11" x14ac:dyDescent="0.25">
      <c r="A266" s="22">
        <v>304</v>
      </c>
      <c r="B266" s="23">
        <v>45712</v>
      </c>
      <c r="C266" s="12" t="s">
        <v>23</v>
      </c>
      <c r="D266" s="12" t="s">
        <v>11</v>
      </c>
      <c r="E266" s="12" t="s">
        <v>12</v>
      </c>
      <c r="F266" s="12" t="s">
        <v>25</v>
      </c>
      <c r="G266" s="12" t="s">
        <v>22</v>
      </c>
      <c r="H266" s="24">
        <v>110.58</v>
      </c>
      <c r="I266" s="25">
        <v>34</v>
      </c>
      <c r="J266" s="26">
        <v>3759.72</v>
      </c>
      <c r="K266" s="27" t="str">
        <f>TEXT(Table1[[#This Row],[Date]],"MMMM")</f>
        <v>February</v>
      </c>
    </row>
    <row r="267" spans="1:11" x14ac:dyDescent="0.25">
      <c r="A267" s="22">
        <v>331</v>
      </c>
      <c r="B267" s="23">
        <v>45712</v>
      </c>
      <c r="C267" s="12" t="s">
        <v>30</v>
      </c>
      <c r="D267" s="12" t="s">
        <v>11</v>
      </c>
      <c r="E267" s="12" t="s">
        <v>39</v>
      </c>
      <c r="F267" s="12" t="s">
        <v>25</v>
      </c>
      <c r="G267" s="12" t="s">
        <v>22</v>
      </c>
      <c r="H267" s="24">
        <v>6.21</v>
      </c>
      <c r="I267" s="25">
        <v>17</v>
      </c>
      <c r="J267" s="26">
        <v>105.57</v>
      </c>
      <c r="K267" s="27" t="str">
        <f>TEXT(Table1[[#This Row],[Date]],"MMMM")</f>
        <v>February</v>
      </c>
    </row>
    <row r="268" spans="1:11" x14ac:dyDescent="0.25">
      <c r="A268" s="22">
        <v>73</v>
      </c>
      <c r="B268" s="23">
        <v>45751</v>
      </c>
      <c r="C268" s="12" t="s">
        <v>28</v>
      </c>
      <c r="D268" s="12" t="s">
        <v>11</v>
      </c>
      <c r="E268" s="12" t="s">
        <v>39</v>
      </c>
      <c r="F268" s="12" t="s">
        <v>25</v>
      </c>
      <c r="G268" s="12" t="s">
        <v>22</v>
      </c>
      <c r="H268" s="24">
        <v>10.78</v>
      </c>
      <c r="I268" s="25">
        <v>25</v>
      </c>
      <c r="J268" s="26">
        <v>269.5</v>
      </c>
      <c r="K268" s="27" t="str">
        <f>TEXT(Table1[[#This Row],[Date]],"MMMM")</f>
        <v>April</v>
      </c>
    </row>
    <row r="269" spans="1:11" x14ac:dyDescent="0.25">
      <c r="A269" s="22">
        <v>207</v>
      </c>
      <c r="B269" s="23">
        <v>45892</v>
      </c>
      <c r="C269" s="12" t="s">
        <v>20</v>
      </c>
      <c r="D269" s="12" t="s">
        <v>11</v>
      </c>
      <c r="E269" s="12" t="s">
        <v>17</v>
      </c>
      <c r="F269" s="12" t="s">
        <v>25</v>
      </c>
      <c r="G269" s="12" t="s">
        <v>22</v>
      </c>
      <c r="H269" s="24">
        <v>9.25</v>
      </c>
      <c r="I269" s="25">
        <v>13</v>
      </c>
      <c r="J269" s="26">
        <v>120.25</v>
      </c>
      <c r="K269" s="27" t="str">
        <f>TEXT(Table1[[#This Row],[Date]],"MMMM")</f>
        <v>August</v>
      </c>
    </row>
    <row r="270" spans="1:11" x14ac:dyDescent="0.25">
      <c r="A270" s="22">
        <v>232</v>
      </c>
      <c r="B270" s="23">
        <v>45937</v>
      </c>
      <c r="C270" s="12" t="s">
        <v>27</v>
      </c>
      <c r="D270" s="12" t="s">
        <v>11</v>
      </c>
      <c r="E270" s="12" t="s">
        <v>21</v>
      </c>
      <c r="F270" s="12" t="s">
        <v>25</v>
      </c>
      <c r="G270" s="12" t="s">
        <v>22</v>
      </c>
      <c r="H270" s="24">
        <v>38.31</v>
      </c>
      <c r="I270" s="25">
        <v>20</v>
      </c>
      <c r="J270" s="26">
        <v>766.2</v>
      </c>
      <c r="K270" s="27" t="str">
        <f>TEXT(Table1[[#This Row],[Date]],"MMMM")</f>
        <v>October</v>
      </c>
    </row>
    <row r="271" spans="1:11" x14ac:dyDescent="0.25">
      <c r="A271" s="22">
        <v>254</v>
      </c>
      <c r="B271" s="23">
        <v>45943</v>
      </c>
      <c r="C271" s="12" t="s">
        <v>10</v>
      </c>
      <c r="D271" s="12" t="s">
        <v>11</v>
      </c>
      <c r="E271" s="12" t="s">
        <v>39</v>
      </c>
      <c r="F271" s="12" t="s">
        <v>25</v>
      </c>
      <c r="G271" s="12" t="s">
        <v>22</v>
      </c>
      <c r="H271" s="24">
        <v>39.33</v>
      </c>
      <c r="I271" s="25">
        <v>20</v>
      </c>
      <c r="J271" s="26">
        <v>786.6</v>
      </c>
      <c r="K271" s="27" t="str">
        <f>TEXT(Table1[[#This Row],[Date]],"MMMM")</f>
        <v>October</v>
      </c>
    </row>
    <row r="272" spans="1:11" x14ac:dyDescent="0.25">
      <c r="A272" s="22">
        <v>70</v>
      </c>
      <c r="B272" s="23">
        <v>45857</v>
      </c>
      <c r="C272" s="12" t="s">
        <v>30</v>
      </c>
      <c r="D272" s="12" t="s">
        <v>38</v>
      </c>
      <c r="E272" s="12" t="s">
        <v>12</v>
      </c>
      <c r="F272" s="12" t="s">
        <v>25</v>
      </c>
      <c r="G272" s="12" t="s">
        <v>22</v>
      </c>
      <c r="H272" s="24">
        <v>103.15</v>
      </c>
      <c r="I272" s="25">
        <v>27</v>
      </c>
      <c r="J272" s="26">
        <v>2785.05</v>
      </c>
      <c r="K272" s="27" t="str">
        <f>TEXT(Table1[[#This Row],[Date]],"MMMM")</f>
        <v>July</v>
      </c>
    </row>
    <row r="273" spans="1:11" x14ac:dyDescent="0.25">
      <c r="A273" s="22">
        <v>358</v>
      </c>
      <c r="B273" s="23">
        <v>45861</v>
      </c>
      <c r="C273" s="12" t="s">
        <v>30</v>
      </c>
      <c r="D273" s="12" t="s">
        <v>38</v>
      </c>
      <c r="E273" s="12" t="s">
        <v>34</v>
      </c>
      <c r="F273" s="12" t="s">
        <v>25</v>
      </c>
      <c r="G273" s="12" t="s">
        <v>22</v>
      </c>
      <c r="H273" s="24">
        <v>30.05</v>
      </c>
      <c r="I273" s="25">
        <v>28</v>
      </c>
      <c r="J273" s="26">
        <v>841.4</v>
      </c>
      <c r="K273" s="27" t="str">
        <f>TEXT(Table1[[#This Row],[Date]],"MMMM")</f>
        <v>July</v>
      </c>
    </row>
    <row r="274" spans="1:11" x14ac:dyDescent="0.25">
      <c r="A274" s="22">
        <v>109</v>
      </c>
      <c r="B274" s="23">
        <v>45863</v>
      </c>
      <c r="C274" s="12" t="s">
        <v>20</v>
      </c>
      <c r="D274" s="12" t="s">
        <v>38</v>
      </c>
      <c r="E274" s="12" t="s">
        <v>29</v>
      </c>
      <c r="F274" s="12" t="s">
        <v>25</v>
      </c>
      <c r="G274" s="12" t="s">
        <v>22</v>
      </c>
      <c r="H274" s="24">
        <v>98.56</v>
      </c>
      <c r="I274" s="25">
        <v>36</v>
      </c>
      <c r="J274" s="26">
        <v>3548.16</v>
      </c>
      <c r="K274" s="27" t="str">
        <f>TEXT(Table1[[#This Row],[Date]],"MMMM")</f>
        <v>July</v>
      </c>
    </row>
    <row r="275" spans="1:11" x14ac:dyDescent="0.25">
      <c r="A275" s="22">
        <v>192</v>
      </c>
      <c r="B275" s="23">
        <v>45898</v>
      </c>
      <c r="C275" s="12" t="s">
        <v>28</v>
      </c>
      <c r="D275" s="12" t="s">
        <v>38</v>
      </c>
      <c r="E275" s="12" t="s">
        <v>39</v>
      </c>
      <c r="F275" s="12" t="s">
        <v>25</v>
      </c>
      <c r="G275" s="12" t="s">
        <v>22</v>
      </c>
      <c r="H275" s="24">
        <v>108.96</v>
      </c>
      <c r="I275" s="25">
        <v>13</v>
      </c>
      <c r="J275" s="26">
        <v>1416.48</v>
      </c>
      <c r="K275" s="27" t="str">
        <f>TEXT(Table1[[#This Row],[Date]],"MMMM")</f>
        <v>August</v>
      </c>
    </row>
    <row r="276" spans="1:11" x14ac:dyDescent="0.25">
      <c r="A276" s="22">
        <v>235</v>
      </c>
      <c r="B276" s="23">
        <v>45921</v>
      </c>
      <c r="C276" s="12" t="s">
        <v>30</v>
      </c>
      <c r="D276" s="12" t="s">
        <v>38</v>
      </c>
      <c r="E276" s="12" t="s">
        <v>29</v>
      </c>
      <c r="F276" s="12" t="s">
        <v>25</v>
      </c>
      <c r="G276" s="12" t="s">
        <v>22</v>
      </c>
      <c r="H276" s="24">
        <v>69.59</v>
      </c>
      <c r="I276" s="25">
        <v>21</v>
      </c>
      <c r="J276" s="26">
        <v>1461.39</v>
      </c>
      <c r="K276" s="27" t="str">
        <f>TEXT(Table1[[#This Row],[Date]],"MMMM")</f>
        <v>September</v>
      </c>
    </row>
    <row r="277" spans="1:11" x14ac:dyDescent="0.25">
      <c r="A277" s="22">
        <v>83</v>
      </c>
      <c r="B277" s="23">
        <v>45925</v>
      </c>
      <c r="C277" s="12" t="s">
        <v>27</v>
      </c>
      <c r="D277" s="12" t="s">
        <v>38</v>
      </c>
      <c r="E277" s="12" t="s">
        <v>21</v>
      </c>
      <c r="F277" s="12" t="s">
        <v>25</v>
      </c>
      <c r="G277" s="12" t="s">
        <v>22</v>
      </c>
      <c r="H277" s="24">
        <v>116.03</v>
      </c>
      <c r="I277" s="25">
        <v>18</v>
      </c>
      <c r="J277" s="26">
        <v>2088.54</v>
      </c>
      <c r="K277" s="27" t="str">
        <f>TEXT(Table1[[#This Row],[Date]],"MMMM")</f>
        <v>September</v>
      </c>
    </row>
    <row r="278" spans="1:11" x14ac:dyDescent="0.25">
      <c r="A278" s="22">
        <v>294</v>
      </c>
      <c r="B278" s="23">
        <v>45940</v>
      </c>
      <c r="C278" s="12" t="s">
        <v>35</v>
      </c>
      <c r="D278" s="12" t="s">
        <v>38</v>
      </c>
      <c r="E278" s="12" t="s">
        <v>24</v>
      </c>
      <c r="F278" s="12" t="s">
        <v>25</v>
      </c>
      <c r="G278" s="12" t="s">
        <v>22</v>
      </c>
      <c r="H278" s="24">
        <v>41.99</v>
      </c>
      <c r="I278" s="25">
        <v>19</v>
      </c>
      <c r="J278" s="26">
        <v>797.81</v>
      </c>
      <c r="K278" s="27" t="str">
        <f>TEXT(Table1[[#This Row],[Date]],"MMMM")</f>
        <v>October</v>
      </c>
    </row>
    <row r="279" spans="1:11" x14ac:dyDescent="0.25">
      <c r="A279" s="22">
        <v>69</v>
      </c>
      <c r="B279" s="23">
        <v>45957</v>
      </c>
      <c r="C279" s="12" t="s">
        <v>35</v>
      </c>
      <c r="D279" s="12" t="s">
        <v>38</v>
      </c>
      <c r="E279" s="12" t="s">
        <v>17</v>
      </c>
      <c r="F279" s="12" t="s">
        <v>25</v>
      </c>
      <c r="G279" s="12" t="s">
        <v>22</v>
      </c>
      <c r="H279" s="24">
        <v>113.8</v>
      </c>
      <c r="I279" s="25">
        <v>2</v>
      </c>
      <c r="J279" s="26">
        <v>227.6</v>
      </c>
      <c r="K279" s="27" t="str">
        <f>TEXT(Table1[[#This Row],[Date]],"MMMM")</f>
        <v>October</v>
      </c>
    </row>
    <row r="280" spans="1:11" x14ac:dyDescent="0.25">
      <c r="A280" s="22">
        <v>183</v>
      </c>
      <c r="B280" s="23">
        <v>45988</v>
      </c>
      <c r="C280" s="12" t="s">
        <v>27</v>
      </c>
      <c r="D280" s="12" t="s">
        <v>38</v>
      </c>
      <c r="E280" s="12" t="s">
        <v>32</v>
      </c>
      <c r="F280" s="12" t="s">
        <v>25</v>
      </c>
      <c r="G280" s="12" t="s">
        <v>22</v>
      </c>
      <c r="H280" s="24">
        <v>24.84</v>
      </c>
      <c r="I280" s="25">
        <v>16</v>
      </c>
      <c r="J280" s="26">
        <v>397.44</v>
      </c>
      <c r="K280" s="27" t="str">
        <f>TEXT(Table1[[#This Row],[Date]],"MMMM")</f>
        <v>November</v>
      </c>
    </row>
    <row r="281" spans="1:11" x14ac:dyDescent="0.25">
      <c r="A281" s="22">
        <v>159</v>
      </c>
      <c r="B281" s="23">
        <v>45720</v>
      </c>
      <c r="C281" s="12" t="s">
        <v>35</v>
      </c>
      <c r="D281" s="12" t="s">
        <v>40</v>
      </c>
      <c r="E281" s="12" t="s">
        <v>34</v>
      </c>
      <c r="F281" s="12" t="s">
        <v>25</v>
      </c>
      <c r="G281" s="12" t="s">
        <v>22</v>
      </c>
      <c r="H281" s="24">
        <v>52.24</v>
      </c>
      <c r="I281" s="25">
        <v>43</v>
      </c>
      <c r="J281" s="26">
        <v>2246.3200000000002</v>
      </c>
      <c r="K281" s="27" t="str">
        <f>TEXT(Table1[[#This Row],[Date]],"MMMM")</f>
        <v>March</v>
      </c>
    </row>
    <row r="282" spans="1:11" x14ac:dyDescent="0.25">
      <c r="A282" s="22">
        <v>330</v>
      </c>
      <c r="B282" s="23">
        <v>45785</v>
      </c>
      <c r="C282" s="12" t="s">
        <v>23</v>
      </c>
      <c r="D282" s="12" t="s">
        <v>40</v>
      </c>
      <c r="E282" s="12" t="s">
        <v>21</v>
      </c>
      <c r="F282" s="12" t="s">
        <v>25</v>
      </c>
      <c r="G282" s="12" t="s">
        <v>22</v>
      </c>
      <c r="H282" s="24">
        <v>80.62</v>
      </c>
      <c r="I282" s="25">
        <v>23</v>
      </c>
      <c r="J282" s="26">
        <v>1854.26</v>
      </c>
      <c r="K282" s="27" t="str">
        <f>TEXT(Table1[[#This Row],[Date]],"MMMM")</f>
        <v>May</v>
      </c>
    </row>
    <row r="283" spans="1:11" x14ac:dyDescent="0.25">
      <c r="A283" s="22">
        <v>445</v>
      </c>
      <c r="B283" s="23">
        <v>45793</v>
      </c>
      <c r="C283" s="12" t="s">
        <v>27</v>
      </c>
      <c r="D283" s="12" t="s">
        <v>40</v>
      </c>
      <c r="E283" s="12" t="s">
        <v>32</v>
      </c>
      <c r="F283" s="12" t="s">
        <v>25</v>
      </c>
      <c r="G283" s="12" t="s">
        <v>22</v>
      </c>
      <c r="H283" s="24">
        <v>49.05</v>
      </c>
      <c r="I283" s="25">
        <v>32</v>
      </c>
      <c r="J283" s="26">
        <v>1569.6</v>
      </c>
      <c r="K283" s="27" t="str">
        <f>TEXT(Table1[[#This Row],[Date]],"MMMM")</f>
        <v>May</v>
      </c>
    </row>
    <row r="284" spans="1:11" x14ac:dyDescent="0.25">
      <c r="A284" s="22">
        <v>141</v>
      </c>
      <c r="B284" s="23">
        <v>45812</v>
      </c>
      <c r="C284" s="12" t="s">
        <v>23</v>
      </c>
      <c r="D284" s="12" t="s">
        <v>40</v>
      </c>
      <c r="E284" s="12" t="s">
        <v>17</v>
      </c>
      <c r="F284" s="12" t="s">
        <v>25</v>
      </c>
      <c r="G284" s="12" t="s">
        <v>22</v>
      </c>
      <c r="H284" s="24">
        <v>79.66</v>
      </c>
      <c r="I284" s="25">
        <v>8</v>
      </c>
      <c r="J284" s="26">
        <v>637.28</v>
      </c>
      <c r="K284" s="27" t="str">
        <f>TEXT(Table1[[#This Row],[Date]],"MMMM")</f>
        <v>June</v>
      </c>
    </row>
    <row r="285" spans="1:11" x14ac:dyDescent="0.25">
      <c r="A285" s="22">
        <v>239</v>
      </c>
      <c r="B285" s="23">
        <v>45892</v>
      </c>
      <c r="C285" s="12" t="s">
        <v>28</v>
      </c>
      <c r="D285" s="12" t="s">
        <v>40</v>
      </c>
      <c r="E285" s="12" t="s">
        <v>17</v>
      </c>
      <c r="F285" s="12" t="s">
        <v>25</v>
      </c>
      <c r="G285" s="12" t="s">
        <v>22</v>
      </c>
      <c r="H285" s="24">
        <v>116.17</v>
      </c>
      <c r="I285" s="25">
        <v>14</v>
      </c>
      <c r="J285" s="26">
        <v>1626.38</v>
      </c>
      <c r="K285" s="27" t="str">
        <f>TEXT(Table1[[#This Row],[Date]],"MMMM")</f>
        <v>August</v>
      </c>
    </row>
    <row r="286" spans="1:11" x14ac:dyDescent="0.25">
      <c r="A286" s="22">
        <v>453</v>
      </c>
      <c r="B286" s="23">
        <v>45895</v>
      </c>
      <c r="C286" s="12" t="s">
        <v>15</v>
      </c>
      <c r="D286" s="12" t="s">
        <v>40</v>
      </c>
      <c r="E286" s="12" t="s">
        <v>12</v>
      </c>
      <c r="F286" s="12" t="s">
        <v>25</v>
      </c>
      <c r="G286" s="12" t="s">
        <v>22</v>
      </c>
      <c r="H286" s="24">
        <v>63.09</v>
      </c>
      <c r="I286" s="25">
        <v>41</v>
      </c>
      <c r="J286" s="26">
        <v>2586.69</v>
      </c>
      <c r="K286" s="27" t="str">
        <f>TEXT(Table1[[#This Row],[Date]],"MMMM")</f>
        <v>August</v>
      </c>
    </row>
    <row r="287" spans="1:11" x14ac:dyDescent="0.25">
      <c r="A287" s="22">
        <v>477</v>
      </c>
      <c r="B287" s="23">
        <v>45806</v>
      </c>
      <c r="C287" s="12" t="s">
        <v>28</v>
      </c>
      <c r="D287" s="12" t="s">
        <v>16</v>
      </c>
      <c r="E287" s="12" t="s">
        <v>32</v>
      </c>
      <c r="F287" s="12" t="s">
        <v>25</v>
      </c>
      <c r="G287" s="12" t="s">
        <v>22</v>
      </c>
      <c r="H287" s="24">
        <v>57.43</v>
      </c>
      <c r="I287" s="25">
        <v>34</v>
      </c>
      <c r="J287" s="26">
        <v>1952.62</v>
      </c>
      <c r="K287" s="27" t="str">
        <f>TEXT(Table1[[#This Row],[Date]],"MMMM")</f>
        <v>May</v>
      </c>
    </row>
    <row r="288" spans="1:11" x14ac:dyDescent="0.25">
      <c r="A288" s="22">
        <v>156</v>
      </c>
      <c r="B288" s="23">
        <v>45869</v>
      </c>
      <c r="C288" s="12" t="s">
        <v>35</v>
      </c>
      <c r="D288" s="12" t="s">
        <v>16</v>
      </c>
      <c r="E288" s="12" t="s">
        <v>29</v>
      </c>
      <c r="F288" s="12" t="s">
        <v>25</v>
      </c>
      <c r="G288" s="12" t="s">
        <v>22</v>
      </c>
      <c r="H288" s="24">
        <v>43.98</v>
      </c>
      <c r="I288" s="25">
        <v>30</v>
      </c>
      <c r="J288" s="26">
        <v>1319.4</v>
      </c>
      <c r="K288" s="27" t="str">
        <f>TEXT(Table1[[#This Row],[Date]],"MMMM")</f>
        <v>July</v>
      </c>
    </row>
    <row r="289" spans="1:11" x14ac:dyDescent="0.25">
      <c r="A289" s="22">
        <v>435</v>
      </c>
      <c r="B289" s="23">
        <v>45908</v>
      </c>
      <c r="C289" s="12" t="s">
        <v>15</v>
      </c>
      <c r="D289" s="12" t="s">
        <v>16</v>
      </c>
      <c r="E289" s="12" t="s">
        <v>32</v>
      </c>
      <c r="F289" s="12" t="s">
        <v>25</v>
      </c>
      <c r="G289" s="12" t="s">
        <v>22</v>
      </c>
      <c r="H289" s="24">
        <v>107.91</v>
      </c>
      <c r="I289" s="25">
        <v>17</v>
      </c>
      <c r="J289" s="26">
        <v>1834.47</v>
      </c>
      <c r="K289" s="27" t="str">
        <f>TEXT(Table1[[#This Row],[Date]],"MMMM")</f>
        <v>September</v>
      </c>
    </row>
    <row r="290" spans="1:11" x14ac:dyDescent="0.25">
      <c r="A290" s="22">
        <v>318</v>
      </c>
      <c r="B290" s="23">
        <v>45941</v>
      </c>
      <c r="C290" s="12" t="s">
        <v>28</v>
      </c>
      <c r="D290" s="12" t="s">
        <v>16</v>
      </c>
      <c r="E290" s="12" t="s">
        <v>17</v>
      </c>
      <c r="F290" s="12" t="s">
        <v>25</v>
      </c>
      <c r="G290" s="12" t="s">
        <v>22</v>
      </c>
      <c r="H290" s="24">
        <v>15.7</v>
      </c>
      <c r="I290" s="25">
        <v>39</v>
      </c>
      <c r="J290" s="26">
        <v>612.29999999999995</v>
      </c>
      <c r="K290" s="27" t="str">
        <f>TEXT(Table1[[#This Row],[Date]],"MMMM")</f>
        <v>October</v>
      </c>
    </row>
    <row r="291" spans="1:11" x14ac:dyDescent="0.25">
      <c r="A291" s="22">
        <v>356</v>
      </c>
      <c r="B291" s="23">
        <v>45982</v>
      </c>
      <c r="C291" s="12" t="s">
        <v>15</v>
      </c>
      <c r="D291" s="12" t="s">
        <v>16</v>
      </c>
      <c r="E291" s="12" t="s">
        <v>34</v>
      </c>
      <c r="F291" s="12" t="s">
        <v>25</v>
      </c>
      <c r="G291" s="12" t="s">
        <v>22</v>
      </c>
      <c r="H291" s="24">
        <v>96.38</v>
      </c>
      <c r="I291" s="25">
        <v>50</v>
      </c>
      <c r="J291" s="26">
        <v>4819</v>
      </c>
      <c r="K291" s="27" t="str">
        <f>TEXT(Table1[[#This Row],[Date]],"MMMM")</f>
        <v>November</v>
      </c>
    </row>
    <row r="292" spans="1:11" x14ac:dyDescent="0.25">
      <c r="A292" s="22">
        <v>122</v>
      </c>
      <c r="B292" s="23">
        <v>45731</v>
      </c>
      <c r="C292" s="12" t="s">
        <v>23</v>
      </c>
      <c r="D292" s="12" t="s">
        <v>26</v>
      </c>
      <c r="E292" s="12" t="s">
        <v>39</v>
      </c>
      <c r="F292" s="12" t="s">
        <v>25</v>
      </c>
      <c r="G292" s="12" t="s">
        <v>22</v>
      </c>
      <c r="H292" s="24">
        <v>52.15</v>
      </c>
      <c r="I292" s="25">
        <v>42</v>
      </c>
      <c r="J292" s="26">
        <v>2190.3000000000002</v>
      </c>
      <c r="K292" s="27" t="str">
        <f>TEXT(Table1[[#This Row],[Date]],"MMMM")</f>
        <v>March</v>
      </c>
    </row>
    <row r="293" spans="1:11" x14ac:dyDescent="0.25">
      <c r="A293" s="22">
        <v>339</v>
      </c>
      <c r="B293" s="23">
        <v>45767</v>
      </c>
      <c r="C293" s="12" t="s">
        <v>15</v>
      </c>
      <c r="D293" s="12" t="s">
        <v>26</v>
      </c>
      <c r="E293" s="12" t="s">
        <v>32</v>
      </c>
      <c r="F293" s="12" t="s">
        <v>25</v>
      </c>
      <c r="G293" s="12" t="s">
        <v>22</v>
      </c>
      <c r="H293" s="24">
        <v>28.67</v>
      </c>
      <c r="I293" s="25">
        <v>49</v>
      </c>
      <c r="J293" s="26">
        <v>1404.83</v>
      </c>
      <c r="K293" s="27" t="str">
        <f>TEXT(Table1[[#This Row],[Date]],"MMMM")</f>
        <v>April</v>
      </c>
    </row>
    <row r="294" spans="1:11" x14ac:dyDescent="0.25">
      <c r="A294" s="22">
        <v>8</v>
      </c>
      <c r="B294" s="23">
        <v>45774</v>
      </c>
      <c r="C294" s="12" t="s">
        <v>30</v>
      </c>
      <c r="D294" s="12" t="s">
        <v>26</v>
      </c>
      <c r="E294" s="12" t="s">
        <v>21</v>
      </c>
      <c r="F294" s="12" t="s">
        <v>25</v>
      </c>
      <c r="G294" s="12" t="s">
        <v>22</v>
      </c>
      <c r="H294" s="24">
        <v>93.9</v>
      </c>
      <c r="I294" s="25">
        <v>6</v>
      </c>
      <c r="J294" s="26">
        <v>563.4</v>
      </c>
      <c r="K294" s="27" t="str">
        <f>TEXT(Table1[[#This Row],[Date]],"MMMM")</f>
        <v>April</v>
      </c>
    </row>
    <row r="295" spans="1:11" x14ac:dyDescent="0.25">
      <c r="A295" s="22">
        <v>94</v>
      </c>
      <c r="B295" s="23">
        <v>45807</v>
      </c>
      <c r="C295" s="12" t="s">
        <v>27</v>
      </c>
      <c r="D295" s="12" t="s">
        <v>26</v>
      </c>
      <c r="E295" s="12" t="s">
        <v>17</v>
      </c>
      <c r="F295" s="12" t="s">
        <v>25</v>
      </c>
      <c r="G295" s="12" t="s">
        <v>22</v>
      </c>
      <c r="H295" s="24">
        <v>85.2</v>
      </c>
      <c r="I295" s="25">
        <v>9</v>
      </c>
      <c r="J295" s="26">
        <v>766.8</v>
      </c>
      <c r="K295" s="27" t="str">
        <f>TEXT(Table1[[#This Row],[Date]],"MMMM")</f>
        <v>May</v>
      </c>
    </row>
    <row r="296" spans="1:11" x14ac:dyDescent="0.25">
      <c r="A296" s="22">
        <v>372</v>
      </c>
      <c r="B296" s="23">
        <v>45911</v>
      </c>
      <c r="C296" s="12" t="s">
        <v>27</v>
      </c>
      <c r="D296" s="12" t="s">
        <v>26</v>
      </c>
      <c r="E296" s="12" t="s">
        <v>17</v>
      </c>
      <c r="F296" s="12" t="s">
        <v>25</v>
      </c>
      <c r="G296" s="12" t="s">
        <v>22</v>
      </c>
      <c r="H296" s="24">
        <v>49.38</v>
      </c>
      <c r="I296" s="25">
        <v>16</v>
      </c>
      <c r="J296" s="26">
        <v>790.08</v>
      </c>
      <c r="K296" s="27" t="str">
        <f>TEXT(Table1[[#This Row],[Date]],"MMMM")</f>
        <v>September</v>
      </c>
    </row>
    <row r="297" spans="1:11" x14ac:dyDescent="0.25">
      <c r="A297" s="22">
        <v>444</v>
      </c>
      <c r="B297" s="23">
        <v>45959</v>
      </c>
      <c r="C297" s="12" t="s">
        <v>15</v>
      </c>
      <c r="D297" s="12" t="s">
        <v>26</v>
      </c>
      <c r="E297" s="12" t="s">
        <v>34</v>
      </c>
      <c r="F297" s="12" t="s">
        <v>25</v>
      </c>
      <c r="G297" s="12" t="s">
        <v>22</v>
      </c>
      <c r="H297" s="24">
        <v>72.010000000000005</v>
      </c>
      <c r="I297" s="25">
        <v>7</v>
      </c>
      <c r="J297" s="26">
        <v>504.07</v>
      </c>
      <c r="K297" s="27" t="str">
        <f>TEXT(Table1[[#This Row],[Date]],"MMMM")</f>
        <v>October</v>
      </c>
    </row>
    <row r="298" spans="1:11" x14ac:dyDescent="0.25">
      <c r="A298" s="22">
        <v>134</v>
      </c>
      <c r="B298" s="23">
        <v>45983</v>
      </c>
      <c r="C298" s="12" t="s">
        <v>23</v>
      </c>
      <c r="D298" s="12" t="s">
        <v>26</v>
      </c>
      <c r="E298" s="12" t="s">
        <v>17</v>
      </c>
      <c r="F298" s="12" t="s">
        <v>25</v>
      </c>
      <c r="G298" s="12" t="s">
        <v>22</v>
      </c>
      <c r="H298" s="24">
        <v>26.87</v>
      </c>
      <c r="I298" s="25">
        <v>17</v>
      </c>
      <c r="J298" s="26">
        <v>456.79</v>
      </c>
      <c r="K298" s="27" t="str">
        <f>TEXT(Table1[[#This Row],[Date]],"MMMM")</f>
        <v>November</v>
      </c>
    </row>
    <row r="299" spans="1:11" x14ac:dyDescent="0.25">
      <c r="A299" s="22">
        <v>169</v>
      </c>
      <c r="B299" s="23">
        <v>45686</v>
      </c>
      <c r="C299" s="12" t="s">
        <v>30</v>
      </c>
      <c r="D299" s="12" t="s">
        <v>37</v>
      </c>
      <c r="E299" s="12" t="s">
        <v>34</v>
      </c>
      <c r="F299" s="12" t="s">
        <v>25</v>
      </c>
      <c r="G299" s="12" t="s">
        <v>22</v>
      </c>
      <c r="H299" s="24">
        <v>5.88</v>
      </c>
      <c r="I299" s="25">
        <v>20</v>
      </c>
      <c r="J299" s="26">
        <v>117.6</v>
      </c>
      <c r="K299" s="27" t="str">
        <f>TEXT(Table1[[#This Row],[Date]],"MMMM")</f>
        <v>January</v>
      </c>
    </row>
    <row r="300" spans="1:11" x14ac:dyDescent="0.25">
      <c r="A300" s="22">
        <v>352</v>
      </c>
      <c r="B300" s="23">
        <v>45688</v>
      </c>
      <c r="C300" s="12" t="s">
        <v>10</v>
      </c>
      <c r="D300" s="12" t="s">
        <v>37</v>
      </c>
      <c r="E300" s="12" t="s">
        <v>24</v>
      </c>
      <c r="F300" s="12" t="s">
        <v>25</v>
      </c>
      <c r="G300" s="12" t="s">
        <v>22</v>
      </c>
      <c r="H300" s="24">
        <v>70.56</v>
      </c>
      <c r="I300" s="25">
        <v>35</v>
      </c>
      <c r="J300" s="26">
        <v>2469.6</v>
      </c>
      <c r="K300" s="27" t="str">
        <f>TEXT(Table1[[#This Row],[Date]],"MMMM")</f>
        <v>January</v>
      </c>
    </row>
    <row r="301" spans="1:11" x14ac:dyDescent="0.25">
      <c r="A301" s="22">
        <v>315</v>
      </c>
      <c r="B301" s="23">
        <v>45695</v>
      </c>
      <c r="C301" s="12" t="s">
        <v>35</v>
      </c>
      <c r="D301" s="12" t="s">
        <v>37</v>
      </c>
      <c r="E301" s="12" t="s">
        <v>21</v>
      </c>
      <c r="F301" s="12" t="s">
        <v>25</v>
      </c>
      <c r="G301" s="12" t="s">
        <v>22</v>
      </c>
      <c r="H301" s="24">
        <v>14.43</v>
      </c>
      <c r="I301" s="25">
        <v>10</v>
      </c>
      <c r="J301" s="26">
        <v>144.30000000000001</v>
      </c>
      <c r="K301" s="27" t="str">
        <f>TEXT(Table1[[#This Row],[Date]],"MMMM")</f>
        <v>February</v>
      </c>
    </row>
    <row r="302" spans="1:11" x14ac:dyDescent="0.25">
      <c r="A302" s="22">
        <v>265</v>
      </c>
      <c r="B302" s="23">
        <v>45741</v>
      </c>
      <c r="C302" s="12" t="s">
        <v>10</v>
      </c>
      <c r="D302" s="12" t="s">
        <v>37</v>
      </c>
      <c r="E302" s="12" t="s">
        <v>17</v>
      </c>
      <c r="F302" s="12" t="s">
        <v>25</v>
      </c>
      <c r="G302" s="12" t="s">
        <v>22</v>
      </c>
      <c r="H302" s="24">
        <v>89.08</v>
      </c>
      <c r="I302" s="25">
        <v>42</v>
      </c>
      <c r="J302" s="26">
        <v>3741.36</v>
      </c>
      <c r="K302" s="27" t="str">
        <f>TEXT(Table1[[#This Row],[Date]],"MMMM")</f>
        <v>March</v>
      </c>
    </row>
    <row r="303" spans="1:11" x14ac:dyDescent="0.25">
      <c r="A303" s="22">
        <v>271</v>
      </c>
      <c r="B303" s="23">
        <v>45771</v>
      </c>
      <c r="C303" s="12" t="s">
        <v>27</v>
      </c>
      <c r="D303" s="12" t="s">
        <v>37</v>
      </c>
      <c r="E303" s="12" t="s">
        <v>39</v>
      </c>
      <c r="F303" s="12" t="s">
        <v>25</v>
      </c>
      <c r="G303" s="12" t="s">
        <v>22</v>
      </c>
      <c r="H303" s="24">
        <v>30.2</v>
      </c>
      <c r="I303" s="25">
        <v>9</v>
      </c>
      <c r="J303" s="26">
        <v>271.8</v>
      </c>
      <c r="K303" s="27" t="str">
        <f>TEXT(Table1[[#This Row],[Date]],"MMMM")</f>
        <v>April</v>
      </c>
    </row>
    <row r="304" spans="1:11" x14ac:dyDescent="0.25">
      <c r="A304" s="22">
        <v>333</v>
      </c>
      <c r="B304" s="23">
        <v>45809</v>
      </c>
      <c r="C304" s="12" t="s">
        <v>15</v>
      </c>
      <c r="D304" s="12" t="s">
        <v>37</v>
      </c>
      <c r="E304" s="12" t="s">
        <v>24</v>
      </c>
      <c r="F304" s="12" t="s">
        <v>25</v>
      </c>
      <c r="G304" s="12" t="s">
        <v>22</v>
      </c>
      <c r="H304" s="24">
        <v>52.84</v>
      </c>
      <c r="I304" s="25">
        <v>6</v>
      </c>
      <c r="J304" s="26">
        <v>317.04000000000002</v>
      </c>
      <c r="K304" s="27" t="str">
        <f>TEXT(Table1[[#This Row],[Date]],"MMMM")</f>
        <v>June</v>
      </c>
    </row>
    <row r="305" spans="1:11" x14ac:dyDescent="0.25">
      <c r="A305" s="22">
        <v>278</v>
      </c>
      <c r="B305" s="23">
        <v>45899</v>
      </c>
      <c r="C305" s="12" t="s">
        <v>23</v>
      </c>
      <c r="D305" s="12" t="s">
        <v>37</v>
      </c>
      <c r="E305" s="12" t="s">
        <v>21</v>
      </c>
      <c r="F305" s="12" t="s">
        <v>25</v>
      </c>
      <c r="G305" s="12" t="s">
        <v>22</v>
      </c>
      <c r="H305" s="24">
        <v>8.65</v>
      </c>
      <c r="I305" s="25">
        <v>27</v>
      </c>
      <c r="J305" s="26">
        <v>233.55</v>
      </c>
      <c r="K305" s="27" t="str">
        <f>TEXT(Table1[[#This Row],[Date]],"MMMM")</f>
        <v>August</v>
      </c>
    </row>
    <row r="306" spans="1:11" x14ac:dyDescent="0.25">
      <c r="A306" s="22">
        <v>216</v>
      </c>
      <c r="B306" s="23">
        <v>45988</v>
      </c>
      <c r="C306" s="12" t="s">
        <v>20</v>
      </c>
      <c r="D306" s="12" t="s">
        <v>37</v>
      </c>
      <c r="E306" s="12" t="s">
        <v>39</v>
      </c>
      <c r="F306" s="12" t="s">
        <v>25</v>
      </c>
      <c r="G306" s="12" t="s">
        <v>22</v>
      </c>
      <c r="H306" s="24">
        <v>47.13</v>
      </c>
      <c r="I306" s="25">
        <v>25</v>
      </c>
      <c r="J306" s="26">
        <v>1178.25</v>
      </c>
      <c r="K306" s="27" t="str">
        <f>TEXT(Table1[[#This Row],[Date]],"MMMM")</f>
        <v>November</v>
      </c>
    </row>
    <row r="307" spans="1:11" x14ac:dyDescent="0.25">
      <c r="A307" s="22">
        <v>162</v>
      </c>
      <c r="B307" s="23">
        <v>45994</v>
      </c>
      <c r="C307" s="12" t="s">
        <v>20</v>
      </c>
      <c r="D307" s="12" t="s">
        <v>37</v>
      </c>
      <c r="E307" s="12" t="s">
        <v>34</v>
      </c>
      <c r="F307" s="12" t="s">
        <v>25</v>
      </c>
      <c r="G307" s="12" t="s">
        <v>22</v>
      </c>
      <c r="H307" s="24">
        <v>100.39</v>
      </c>
      <c r="I307" s="25">
        <v>18</v>
      </c>
      <c r="J307" s="26">
        <v>1807.02</v>
      </c>
      <c r="K307" s="27" t="str">
        <f>TEXT(Table1[[#This Row],[Date]],"MMMM")</f>
        <v>December</v>
      </c>
    </row>
    <row r="308" spans="1:11" x14ac:dyDescent="0.25">
      <c r="A308" s="22">
        <v>406</v>
      </c>
      <c r="B308" s="23">
        <v>46007</v>
      </c>
      <c r="C308" s="12" t="s">
        <v>30</v>
      </c>
      <c r="D308" s="12" t="s">
        <v>37</v>
      </c>
      <c r="E308" s="12" t="s">
        <v>34</v>
      </c>
      <c r="F308" s="12" t="s">
        <v>25</v>
      </c>
      <c r="G308" s="12" t="s">
        <v>22</v>
      </c>
      <c r="H308" s="24">
        <v>54.07</v>
      </c>
      <c r="I308" s="25">
        <v>23</v>
      </c>
      <c r="J308" s="26">
        <v>1243.6099999999999</v>
      </c>
      <c r="K308" s="27" t="str">
        <f>TEXT(Table1[[#This Row],[Date]],"MMMM")</f>
        <v>December</v>
      </c>
    </row>
    <row r="309" spans="1:11" x14ac:dyDescent="0.25">
      <c r="A309" s="22">
        <v>185</v>
      </c>
      <c r="B309" s="23">
        <v>45706</v>
      </c>
      <c r="C309" s="12" t="s">
        <v>10</v>
      </c>
      <c r="D309" s="12" t="s">
        <v>36</v>
      </c>
      <c r="E309" s="12" t="s">
        <v>32</v>
      </c>
      <c r="F309" s="12" t="s">
        <v>25</v>
      </c>
      <c r="G309" s="12" t="s">
        <v>19</v>
      </c>
      <c r="H309" s="24">
        <v>69.17</v>
      </c>
      <c r="I309" s="25">
        <v>25</v>
      </c>
      <c r="J309" s="26">
        <v>1729.25</v>
      </c>
      <c r="K309" s="27" t="str">
        <f>TEXT(Table1[[#This Row],[Date]],"MMMM")</f>
        <v>February</v>
      </c>
    </row>
    <row r="310" spans="1:11" x14ac:dyDescent="0.25">
      <c r="A310" s="22">
        <v>386</v>
      </c>
      <c r="B310" s="23">
        <v>45785</v>
      </c>
      <c r="C310" s="12" t="s">
        <v>28</v>
      </c>
      <c r="D310" s="12" t="s">
        <v>36</v>
      </c>
      <c r="E310" s="12" t="s">
        <v>29</v>
      </c>
      <c r="F310" s="12" t="s">
        <v>25</v>
      </c>
      <c r="G310" s="12" t="s">
        <v>19</v>
      </c>
      <c r="H310" s="24">
        <v>52.87</v>
      </c>
      <c r="I310" s="25">
        <v>47</v>
      </c>
      <c r="J310" s="26">
        <v>2484.89</v>
      </c>
      <c r="K310" s="27" t="str">
        <f>TEXT(Table1[[#This Row],[Date]],"MMMM")</f>
        <v>May</v>
      </c>
    </row>
    <row r="311" spans="1:11" x14ac:dyDescent="0.25">
      <c r="A311" s="22">
        <v>90</v>
      </c>
      <c r="B311" s="23">
        <v>45939</v>
      </c>
      <c r="C311" s="12" t="s">
        <v>27</v>
      </c>
      <c r="D311" s="12" t="s">
        <v>36</v>
      </c>
      <c r="E311" s="12" t="s">
        <v>34</v>
      </c>
      <c r="F311" s="12" t="s">
        <v>25</v>
      </c>
      <c r="G311" s="12" t="s">
        <v>19</v>
      </c>
      <c r="H311" s="24">
        <v>43.04</v>
      </c>
      <c r="I311" s="25">
        <v>45</v>
      </c>
      <c r="J311" s="26">
        <v>1936.8</v>
      </c>
      <c r="K311" s="27" t="str">
        <f>TEXT(Table1[[#This Row],[Date]],"MMMM")</f>
        <v>October</v>
      </c>
    </row>
    <row r="312" spans="1:11" x14ac:dyDescent="0.25">
      <c r="A312" s="22">
        <v>133</v>
      </c>
      <c r="B312" s="23">
        <v>46009</v>
      </c>
      <c r="C312" s="12" t="s">
        <v>27</v>
      </c>
      <c r="D312" s="12" t="s">
        <v>36</v>
      </c>
      <c r="E312" s="12" t="s">
        <v>12</v>
      </c>
      <c r="F312" s="12" t="s">
        <v>25</v>
      </c>
      <c r="G312" s="12" t="s">
        <v>19</v>
      </c>
      <c r="H312" s="24">
        <v>94.51</v>
      </c>
      <c r="I312" s="25">
        <v>4</v>
      </c>
      <c r="J312" s="26">
        <v>378.04</v>
      </c>
      <c r="K312" s="27" t="str">
        <f>TEXT(Table1[[#This Row],[Date]],"MMMM")</f>
        <v>December</v>
      </c>
    </row>
    <row r="313" spans="1:11" x14ac:dyDescent="0.25">
      <c r="A313" s="22">
        <v>366</v>
      </c>
      <c r="B313" s="23">
        <v>45703</v>
      </c>
      <c r="C313" s="12" t="s">
        <v>15</v>
      </c>
      <c r="D313" s="12" t="s">
        <v>31</v>
      </c>
      <c r="E313" s="12" t="s">
        <v>24</v>
      </c>
      <c r="F313" s="12" t="s">
        <v>25</v>
      </c>
      <c r="G313" s="12" t="s">
        <v>19</v>
      </c>
      <c r="H313" s="24">
        <v>89.04</v>
      </c>
      <c r="I313" s="25">
        <v>7</v>
      </c>
      <c r="J313" s="26">
        <v>623.28</v>
      </c>
      <c r="K313" s="27" t="str">
        <f>TEXT(Table1[[#This Row],[Date]],"MMMM")</f>
        <v>February</v>
      </c>
    </row>
    <row r="314" spans="1:11" x14ac:dyDescent="0.25">
      <c r="A314" s="22">
        <v>51</v>
      </c>
      <c r="B314" s="23">
        <v>45800</v>
      </c>
      <c r="C314" s="12" t="s">
        <v>10</v>
      </c>
      <c r="D314" s="12" t="s">
        <v>31</v>
      </c>
      <c r="E314" s="12" t="s">
        <v>21</v>
      </c>
      <c r="F314" s="12" t="s">
        <v>25</v>
      </c>
      <c r="G314" s="12" t="s">
        <v>19</v>
      </c>
      <c r="H314" s="24">
        <v>104.4</v>
      </c>
      <c r="I314" s="25">
        <v>50</v>
      </c>
      <c r="J314" s="26">
        <v>5220</v>
      </c>
      <c r="K314" s="27" t="str">
        <f>TEXT(Table1[[#This Row],[Date]],"MMMM")</f>
        <v>May</v>
      </c>
    </row>
    <row r="315" spans="1:11" x14ac:dyDescent="0.25">
      <c r="A315" s="22">
        <v>204</v>
      </c>
      <c r="B315" s="23">
        <v>45856</v>
      </c>
      <c r="C315" s="12" t="s">
        <v>20</v>
      </c>
      <c r="D315" s="12" t="s">
        <v>31</v>
      </c>
      <c r="E315" s="12" t="s">
        <v>29</v>
      </c>
      <c r="F315" s="12" t="s">
        <v>25</v>
      </c>
      <c r="G315" s="12" t="s">
        <v>19</v>
      </c>
      <c r="H315" s="24">
        <v>117.82</v>
      </c>
      <c r="I315" s="25">
        <v>17</v>
      </c>
      <c r="J315" s="26">
        <v>2002.94</v>
      </c>
      <c r="K315" s="27" t="str">
        <f>TEXT(Table1[[#This Row],[Date]],"MMMM")</f>
        <v>July</v>
      </c>
    </row>
    <row r="316" spans="1:11" x14ac:dyDescent="0.25">
      <c r="A316" s="22">
        <v>458</v>
      </c>
      <c r="B316" s="23">
        <v>46021</v>
      </c>
      <c r="C316" s="12" t="s">
        <v>35</v>
      </c>
      <c r="D316" s="12" t="s">
        <v>31</v>
      </c>
      <c r="E316" s="12" t="s">
        <v>39</v>
      </c>
      <c r="F316" s="12" t="s">
        <v>25</v>
      </c>
      <c r="G316" s="12" t="s">
        <v>19</v>
      </c>
      <c r="H316" s="24">
        <v>78.92</v>
      </c>
      <c r="I316" s="25">
        <v>28</v>
      </c>
      <c r="J316" s="26">
        <v>2209.7600000000002</v>
      </c>
      <c r="K316" s="27" t="str">
        <f>TEXT(Table1[[#This Row],[Date]],"MMMM")</f>
        <v>December</v>
      </c>
    </row>
    <row r="317" spans="1:11" x14ac:dyDescent="0.25">
      <c r="A317" s="22">
        <v>475</v>
      </c>
      <c r="B317" s="23">
        <v>46004</v>
      </c>
      <c r="C317" s="12" t="s">
        <v>30</v>
      </c>
      <c r="D317" s="12" t="s">
        <v>11</v>
      </c>
      <c r="E317" s="12" t="s">
        <v>24</v>
      </c>
      <c r="F317" s="12" t="s">
        <v>25</v>
      </c>
      <c r="G317" s="12" t="s">
        <v>19</v>
      </c>
      <c r="H317" s="24">
        <v>5.47</v>
      </c>
      <c r="I317" s="25">
        <v>47</v>
      </c>
      <c r="J317" s="26">
        <v>257.08999999999997</v>
      </c>
      <c r="K317" s="27" t="str">
        <f>TEXT(Table1[[#This Row],[Date]],"MMMM")</f>
        <v>December</v>
      </c>
    </row>
    <row r="318" spans="1:11" x14ac:dyDescent="0.25">
      <c r="A318" s="22">
        <v>125</v>
      </c>
      <c r="B318" s="23">
        <v>45704</v>
      </c>
      <c r="C318" s="12" t="s">
        <v>15</v>
      </c>
      <c r="D318" s="12" t="s">
        <v>38</v>
      </c>
      <c r="E318" s="12" t="s">
        <v>32</v>
      </c>
      <c r="F318" s="12" t="s">
        <v>25</v>
      </c>
      <c r="G318" s="12" t="s">
        <v>19</v>
      </c>
      <c r="H318" s="24">
        <v>54.91</v>
      </c>
      <c r="I318" s="25">
        <v>7</v>
      </c>
      <c r="J318" s="26">
        <v>384.37</v>
      </c>
      <c r="K318" s="27" t="str">
        <f>TEXT(Table1[[#This Row],[Date]],"MMMM")</f>
        <v>February</v>
      </c>
    </row>
    <row r="319" spans="1:11" x14ac:dyDescent="0.25">
      <c r="A319" s="22">
        <v>262</v>
      </c>
      <c r="B319" s="23">
        <v>45748</v>
      </c>
      <c r="C319" s="12" t="s">
        <v>35</v>
      </c>
      <c r="D319" s="12" t="s">
        <v>38</v>
      </c>
      <c r="E319" s="12" t="s">
        <v>32</v>
      </c>
      <c r="F319" s="12" t="s">
        <v>25</v>
      </c>
      <c r="G319" s="12" t="s">
        <v>19</v>
      </c>
      <c r="H319" s="24">
        <v>112.4</v>
      </c>
      <c r="I319" s="25">
        <v>3</v>
      </c>
      <c r="J319" s="26">
        <v>337.2</v>
      </c>
      <c r="K319" s="27" t="str">
        <f>TEXT(Table1[[#This Row],[Date]],"MMMM")</f>
        <v>April</v>
      </c>
    </row>
    <row r="320" spans="1:11" x14ac:dyDescent="0.25">
      <c r="A320" s="22">
        <v>436</v>
      </c>
      <c r="B320" s="23">
        <v>45847</v>
      </c>
      <c r="C320" s="12" t="s">
        <v>10</v>
      </c>
      <c r="D320" s="12" t="s">
        <v>38</v>
      </c>
      <c r="E320" s="12" t="s">
        <v>39</v>
      </c>
      <c r="F320" s="12" t="s">
        <v>25</v>
      </c>
      <c r="G320" s="12" t="s">
        <v>19</v>
      </c>
      <c r="H320" s="24">
        <v>26.46</v>
      </c>
      <c r="I320" s="25">
        <v>3</v>
      </c>
      <c r="J320" s="26">
        <v>79.38</v>
      </c>
      <c r="K320" s="27" t="str">
        <f>TEXT(Table1[[#This Row],[Date]],"MMMM")</f>
        <v>July</v>
      </c>
    </row>
    <row r="321" spans="1:11" x14ac:dyDescent="0.25">
      <c r="A321" s="22">
        <v>500</v>
      </c>
      <c r="B321" s="23">
        <v>45885</v>
      </c>
      <c r="C321" s="12" t="s">
        <v>15</v>
      </c>
      <c r="D321" s="12" t="s">
        <v>38</v>
      </c>
      <c r="E321" s="12" t="s">
        <v>39</v>
      </c>
      <c r="F321" s="12" t="s">
        <v>25</v>
      </c>
      <c r="G321" s="12" t="s">
        <v>19</v>
      </c>
      <c r="H321" s="24">
        <v>97.15</v>
      </c>
      <c r="I321" s="25">
        <v>29</v>
      </c>
      <c r="J321" s="26">
        <v>2817.35</v>
      </c>
      <c r="K321" s="27" t="str">
        <f>TEXT(Table1[[#This Row],[Date]],"MMMM")</f>
        <v>August</v>
      </c>
    </row>
    <row r="322" spans="1:11" x14ac:dyDescent="0.25">
      <c r="A322" s="22">
        <v>382</v>
      </c>
      <c r="B322" s="23">
        <v>45926</v>
      </c>
      <c r="C322" s="12" t="s">
        <v>15</v>
      </c>
      <c r="D322" s="12" t="s">
        <v>38</v>
      </c>
      <c r="E322" s="12" t="s">
        <v>39</v>
      </c>
      <c r="F322" s="12" t="s">
        <v>25</v>
      </c>
      <c r="G322" s="12" t="s">
        <v>19</v>
      </c>
      <c r="H322" s="24">
        <v>12.35</v>
      </c>
      <c r="I322" s="25">
        <v>46</v>
      </c>
      <c r="J322" s="26">
        <v>568.1</v>
      </c>
      <c r="K322" s="27" t="str">
        <f>TEXT(Table1[[#This Row],[Date]],"MMMM")</f>
        <v>September</v>
      </c>
    </row>
    <row r="323" spans="1:11" x14ac:dyDescent="0.25">
      <c r="A323" s="22">
        <v>284</v>
      </c>
      <c r="B323" s="23">
        <v>45680</v>
      </c>
      <c r="C323" s="12" t="s">
        <v>30</v>
      </c>
      <c r="D323" s="12" t="s">
        <v>40</v>
      </c>
      <c r="E323" s="12" t="s">
        <v>32</v>
      </c>
      <c r="F323" s="12" t="s">
        <v>25</v>
      </c>
      <c r="G323" s="12" t="s">
        <v>19</v>
      </c>
      <c r="H323" s="24">
        <v>51.26</v>
      </c>
      <c r="I323" s="25">
        <v>15</v>
      </c>
      <c r="J323" s="26">
        <v>768.9</v>
      </c>
      <c r="K323" s="27" t="str">
        <f>TEXT(Table1[[#This Row],[Date]],"MMMM")</f>
        <v>January</v>
      </c>
    </row>
    <row r="324" spans="1:11" x14ac:dyDescent="0.25">
      <c r="A324" s="22">
        <v>27</v>
      </c>
      <c r="B324" s="23">
        <v>45685</v>
      </c>
      <c r="C324" s="12" t="s">
        <v>15</v>
      </c>
      <c r="D324" s="12" t="s">
        <v>40</v>
      </c>
      <c r="E324" s="12" t="s">
        <v>21</v>
      </c>
      <c r="F324" s="12" t="s">
        <v>25</v>
      </c>
      <c r="G324" s="12" t="s">
        <v>19</v>
      </c>
      <c r="H324" s="24">
        <v>82.44</v>
      </c>
      <c r="I324" s="25">
        <v>42</v>
      </c>
      <c r="J324" s="26">
        <v>3462.48</v>
      </c>
      <c r="K324" s="27" t="str">
        <f>TEXT(Table1[[#This Row],[Date]],"MMMM")</f>
        <v>January</v>
      </c>
    </row>
    <row r="325" spans="1:11" x14ac:dyDescent="0.25">
      <c r="A325" s="22">
        <v>400</v>
      </c>
      <c r="B325" s="23">
        <v>45704</v>
      </c>
      <c r="C325" s="12" t="s">
        <v>35</v>
      </c>
      <c r="D325" s="12" t="s">
        <v>40</v>
      </c>
      <c r="E325" s="12" t="s">
        <v>34</v>
      </c>
      <c r="F325" s="12" t="s">
        <v>25</v>
      </c>
      <c r="G325" s="12" t="s">
        <v>19</v>
      </c>
      <c r="H325" s="24">
        <v>86.78</v>
      </c>
      <c r="I325" s="25">
        <v>23</v>
      </c>
      <c r="J325" s="26">
        <v>1995.94</v>
      </c>
      <c r="K325" s="27" t="str">
        <f>TEXT(Table1[[#This Row],[Date]],"MMMM")</f>
        <v>February</v>
      </c>
    </row>
    <row r="326" spans="1:11" x14ac:dyDescent="0.25">
      <c r="A326" s="22">
        <v>399</v>
      </c>
      <c r="B326" s="23">
        <v>45719</v>
      </c>
      <c r="C326" s="12" t="s">
        <v>10</v>
      </c>
      <c r="D326" s="12" t="s">
        <v>40</v>
      </c>
      <c r="E326" s="12" t="s">
        <v>12</v>
      </c>
      <c r="F326" s="12" t="s">
        <v>25</v>
      </c>
      <c r="G326" s="12" t="s">
        <v>19</v>
      </c>
      <c r="H326" s="24">
        <v>15.4</v>
      </c>
      <c r="I326" s="25">
        <v>44</v>
      </c>
      <c r="J326" s="26">
        <v>677.6</v>
      </c>
      <c r="K326" s="27" t="str">
        <f>TEXT(Table1[[#This Row],[Date]],"MMMM")</f>
        <v>March</v>
      </c>
    </row>
    <row r="327" spans="1:11" x14ac:dyDescent="0.25">
      <c r="A327" s="22">
        <v>57</v>
      </c>
      <c r="B327" s="23">
        <v>45747</v>
      </c>
      <c r="C327" s="12" t="s">
        <v>35</v>
      </c>
      <c r="D327" s="12" t="s">
        <v>40</v>
      </c>
      <c r="E327" s="12" t="s">
        <v>34</v>
      </c>
      <c r="F327" s="12" t="s">
        <v>25</v>
      </c>
      <c r="G327" s="12" t="s">
        <v>19</v>
      </c>
      <c r="H327" s="24">
        <v>75.78</v>
      </c>
      <c r="I327" s="25">
        <v>20</v>
      </c>
      <c r="J327" s="26">
        <v>1515.6</v>
      </c>
      <c r="K327" s="27" t="str">
        <f>TEXT(Table1[[#This Row],[Date]],"MMMM")</f>
        <v>March</v>
      </c>
    </row>
    <row r="328" spans="1:11" x14ac:dyDescent="0.25">
      <c r="A328" s="22">
        <v>430</v>
      </c>
      <c r="B328" s="23">
        <v>45992</v>
      </c>
      <c r="C328" s="12" t="s">
        <v>23</v>
      </c>
      <c r="D328" s="12" t="s">
        <v>40</v>
      </c>
      <c r="E328" s="12" t="s">
        <v>29</v>
      </c>
      <c r="F328" s="12" t="s">
        <v>25</v>
      </c>
      <c r="G328" s="12" t="s">
        <v>19</v>
      </c>
      <c r="H328" s="24">
        <v>23.97</v>
      </c>
      <c r="I328" s="25">
        <v>28</v>
      </c>
      <c r="J328" s="26">
        <v>671.16</v>
      </c>
      <c r="K328" s="27" t="str">
        <f>TEXT(Table1[[#This Row],[Date]],"MMMM")</f>
        <v>December</v>
      </c>
    </row>
    <row r="329" spans="1:11" x14ac:dyDescent="0.25">
      <c r="A329" s="22">
        <v>310</v>
      </c>
      <c r="B329" s="23">
        <v>45666</v>
      </c>
      <c r="C329" s="12" t="s">
        <v>23</v>
      </c>
      <c r="D329" s="12" t="s">
        <v>16</v>
      </c>
      <c r="E329" s="12" t="s">
        <v>29</v>
      </c>
      <c r="F329" s="12" t="s">
        <v>25</v>
      </c>
      <c r="G329" s="12" t="s">
        <v>19</v>
      </c>
      <c r="H329" s="24">
        <v>115.57</v>
      </c>
      <c r="I329" s="25">
        <v>38</v>
      </c>
      <c r="J329" s="26">
        <v>4391.66</v>
      </c>
      <c r="K329" s="27" t="str">
        <f>TEXT(Table1[[#This Row],[Date]],"MMMM")</f>
        <v>January</v>
      </c>
    </row>
    <row r="330" spans="1:11" x14ac:dyDescent="0.25">
      <c r="A330" s="22">
        <v>266</v>
      </c>
      <c r="B330" s="23">
        <v>45948</v>
      </c>
      <c r="C330" s="12" t="s">
        <v>23</v>
      </c>
      <c r="D330" s="12" t="s">
        <v>16</v>
      </c>
      <c r="E330" s="12" t="s">
        <v>21</v>
      </c>
      <c r="F330" s="12" t="s">
        <v>25</v>
      </c>
      <c r="G330" s="12" t="s">
        <v>19</v>
      </c>
      <c r="H330" s="24">
        <v>82.56</v>
      </c>
      <c r="I330" s="25">
        <v>13</v>
      </c>
      <c r="J330" s="26">
        <v>1073.28</v>
      </c>
      <c r="K330" s="27" t="str">
        <f>TEXT(Table1[[#This Row],[Date]],"MMMM")</f>
        <v>October</v>
      </c>
    </row>
    <row r="331" spans="1:11" x14ac:dyDescent="0.25">
      <c r="A331" s="22">
        <v>4</v>
      </c>
      <c r="B331" s="23">
        <v>45959</v>
      </c>
      <c r="C331" s="12" t="s">
        <v>23</v>
      </c>
      <c r="D331" s="12" t="s">
        <v>16</v>
      </c>
      <c r="E331" s="12" t="s">
        <v>24</v>
      </c>
      <c r="F331" s="12" t="s">
        <v>25</v>
      </c>
      <c r="G331" s="12" t="s">
        <v>19</v>
      </c>
      <c r="H331" s="24">
        <v>36.99</v>
      </c>
      <c r="I331" s="25">
        <v>1</v>
      </c>
      <c r="J331" s="26">
        <v>36.99</v>
      </c>
      <c r="K331" s="27" t="str">
        <f>TEXT(Table1[[#This Row],[Date]],"MMMM")</f>
        <v>October</v>
      </c>
    </row>
    <row r="332" spans="1:11" x14ac:dyDescent="0.25">
      <c r="A332" s="22">
        <v>59</v>
      </c>
      <c r="B332" s="23">
        <v>45767</v>
      </c>
      <c r="C332" s="12" t="s">
        <v>23</v>
      </c>
      <c r="D332" s="12" t="s">
        <v>26</v>
      </c>
      <c r="E332" s="12" t="s">
        <v>34</v>
      </c>
      <c r="F332" s="12" t="s">
        <v>25</v>
      </c>
      <c r="G332" s="12" t="s">
        <v>19</v>
      </c>
      <c r="H332" s="24">
        <v>63.79</v>
      </c>
      <c r="I332" s="25">
        <v>48</v>
      </c>
      <c r="J332" s="26">
        <v>3061.92</v>
      </c>
      <c r="K332" s="27" t="str">
        <f>TEXT(Table1[[#This Row],[Date]],"MMMM")</f>
        <v>April</v>
      </c>
    </row>
    <row r="333" spans="1:11" x14ac:dyDescent="0.25">
      <c r="A333" s="22">
        <v>295</v>
      </c>
      <c r="B333" s="23">
        <v>45842</v>
      </c>
      <c r="C333" s="12" t="s">
        <v>27</v>
      </c>
      <c r="D333" s="12" t="s">
        <v>26</v>
      </c>
      <c r="E333" s="12" t="s">
        <v>39</v>
      </c>
      <c r="F333" s="12" t="s">
        <v>25</v>
      </c>
      <c r="G333" s="12" t="s">
        <v>19</v>
      </c>
      <c r="H333" s="24">
        <v>63.97</v>
      </c>
      <c r="I333" s="25">
        <v>32</v>
      </c>
      <c r="J333" s="26">
        <v>2047.04</v>
      </c>
      <c r="K333" s="27" t="str">
        <f>TEXT(Table1[[#This Row],[Date]],"MMMM")</f>
        <v>July</v>
      </c>
    </row>
    <row r="334" spans="1:11" x14ac:dyDescent="0.25">
      <c r="A334" s="22">
        <v>279</v>
      </c>
      <c r="B334" s="23">
        <v>45887</v>
      </c>
      <c r="C334" s="12" t="s">
        <v>35</v>
      </c>
      <c r="D334" s="12" t="s">
        <v>26</v>
      </c>
      <c r="E334" s="12" t="s">
        <v>32</v>
      </c>
      <c r="F334" s="12" t="s">
        <v>25</v>
      </c>
      <c r="G334" s="12" t="s">
        <v>19</v>
      </c>
      <c r="H334" s="24">
        <v>105.01</v>
      </c>
      <c r="I334" s="25">
        <v>25</v>
      </c>
      <c r="J334" s="26">
        <v>2625.25</v>
      </c>
      <c r="K334" s="27" t="str">
        <f>TEXT(Table1[[#This Row],[Date]],"MMMM")</f>
        <v>August</v>
      </c>
    </row>
    <row r="335" spans="1:11" x14ac:dyDescent="0.25">
      <c r="A335" s="22">
        <v>38</v>
      </c>
      <c r="B335" s="23">
        <v>45892</v>
      </c>
      <c r="C335" s="12" t="s">
        <v>15</v>
      </c>
      <c r="D335" s="12" t="s">
        <v>26</v>
      </c>
      <c r="E335" s="12" t="s">
        <v>12</v>
      </c>
      <c r="F335" s="12" t="s">
        <v>25</v>
      </c>
      <c r="G335" s="12" t="s">
        <v>19</v>
      </c>
      <c r="H335" s="24">
        <v>76.430000000000007</v>
      </c>
      <c r="I335" s="25">
        <v>37</v>
      </c>
      <c r="J335" s="26">
        <v>2827.91</v>
      </c>
      <c r="K335" s="27" t="str">
        <f>TEXT(Table1[[#This Row],[Date]],"MMMM")</f>
        <v>August</v>
      </c>
    </row>
    <row r="336" spans="1:11" x14ac:dyDescent="0.25">
      <c r="A336" s="22">
        <v>16</v>
      </c>
      <c r="B336" s="23">
        <v>45897</v>
      </c>
      <c r="C336" s="12" t="s">
        <v>20</v>
      </c>
      <c r="D336" s="12" t="s">
        <v>26</v>
      </c>
      <c r="E336" s="12" t="s">
        <v>34</v>
      </c>
      <c r="F336" s="12" t="s">
        <v>25</v>
      </c>
      <c r="G336" s="12" t="s">
        <v>19</v>
      </c>
      <c r="H336" s="24">
        <v>65.849999999999994</v>
      </c>
      <c r="I336" s="25">
        <v>36</v>
      </c>
      <c r="J336" s="26">
        <v>2370.6</v>
      </c>
      <c r="K336" s="27" t="str">
        <f>TEXT(Table1[[#This Row],[Date]],"MMMM")</f>
        <v>August</v>
      </c>
    </row>
    <row r="337" spans="1:11" x14ac:dyDescent="0.25">
      <c r="A337" s="22">
        <v>92</v>
      </c>
      <c r="B337" s="23">
        <v>45905</v>
      </c>
      <c r="C337" s="12" t="s">
        <v>10</v>
      </c>
      <c r="D337" s="12" t="s">
        <v>26</v>
      </c>
      <c r="E337" s="12" t="s">
        <v>12</v>
      </c>
      <c r="F337" s="12" t="s">
        <v>25</v>
      </c>
      <c r="G337" s="12" t="s">
        <v>19</v>
      </c>
      <c r="H337" s="24">
        <v>36.799999999999997</v>
      </c>
      <c r="I337" s="25">
        <v>38</v>
      </c>
      <c r="J337" s="26">
        <v>1398.4</v>
      </c>
      <c r="K337" s="27" t="str">
        <f>TEXT(Table1[[#This Row],[Date]],"MMMM")</f>
        <v>September</v>
      </c>
    </row>
    <row r="338" spans="1:11" x14ac:dyDescent="0.25">
      <c r="A338" s="22">
        <v>187</v>
      </c>
      <c r="B338" s="23">
        <v>45944</v>
      </c>
      <c r="C338" s="12" t="s">
        <v>23</v>
      </c>
      <c r="D338" s="12" t="s">
        <v>26</v>
      </c>
      <c r="E338" s="12" t="s">
        <v>21</v>
      </c>
      <c r="F338" s="12" t="s">
        <v>25</v>
      </c>
      <c r="G338" s="12" t="s">
        <v>19</v>
      </c>
      <c r="H338" s="24">
        <v>48.32</v>
      </c>
      <c r="I338" s="25">
        <v>22</v>
      </c>
      <c r="J338" s="26">
        <v>1063.04</v>
      </c>
      <c r="K338" s="27" t="str">
        <f>TEXT(Table1[[#This Row],[Date]],"MMMM")</f>
        <v>October</v>
      </c>
    </row>
    <row r="339" spans="1:11" x14ac:dyDescent="0.25">
      <c r="A339" s="22">
        <v>269</v>
      </c>
      <c r="B339" s="23">
        <v>45992</v>
      </c>
      <c r="C339" s="12" t="s">
        <v>20</v>
      </c>
      <c r="D339" s="12" t="s">
        <v>26</v>
      </c>
      <c r="E339" s="12" t="s">
        <v>39</v>
      </c>
      <c r="F339" s="12" t="s">
        <v>25</v>
      </c>
      <c r="G339" s="12" t="s">
        <v>19</v>
      </c>
      <c r="H339" s="24">
        <v>46.35</v>
      </c>
      <c r="I339" s="25">
        <v>16</v>
      </c>
      <c r="J339" s="26">
        <v>741.6</v>
      </c>
      <c r="K339" s="27" t="str">
        <f>TEXT(Table1[[#This Row],[Date]],"MMMM")</f>
        <v>December</v>
      </c>
    </row>
    <row r="340" spans="1:11" x14ac:dyDescent="0.25">
      <c r="A340" s="22">
        <v>432</v>
      </c>
      <c r="B340" s="23">
        <v>45683</v>
      </c>
      <c r="C340" s="12" t="s">
        <v>27</v>
      </c>
      <c r="D340" s="12" t="s">
        <v>37</v>
      </c>
      <c r="E340" s="12" t="s">
        <v>17</v>
      </c>
      <c r="F340" s="12" t="s">
        <v>25</v>
      </c>
      <c r="G340" s="12" t="s">
        <v>19</v>
      </c>
      <c r="H340" s="24">
        <v>50.18</v>
      </c>
      <c r="I340" s="25">
        <v>36</v>
      </c>
      <c r="J340" s="26">
        <v>1806.48</v>
      </c>
      <c r="K340" s="27" t="str">
        <f>TEXT(Table1[[#This Row],[Date]],"MMMM")</f>
        <v>January</v>
      </c>
    </row>
    <row r="341" spans="1:11" x14ac:dyDescent="0.25">
      <c r="A341" s="22">
        <v>149</v>
      </c>
      <c r="B341" s="23">
        <v>45786</v>
      </c>
      <c r="C341" s="12" t="s">
        <v>20</v>
      </c>
      <c r="D341" s="12" t="s">
        <v>37</v>
      </c>
      <c r="E341" s="12" t="s">
        <v>17</v>
      </c>
      <c r="F341" s="12" t="s">
        <v>25</v>
      </c>
      <c r="G341" s="12" t="s">
        <v>19</v>
      </c>
      <c r="H341" s="24">
        <v>96.83</v>
      </c>
      <c r="I341" s="25">
        <v>8</v>
      </c>
      <c r="J341" s="26">
        <v>774.64</v>
      </c>
      <c r="K341" s="27" t="str">
        <f>TEXT(Table1[[#This Row],[Date]],"MMMM")</f>
        <v>May</v>
      </c>
    </row>
    <row r="342" spans="1:11" x14ac:dyDescent="0.25">
      <c r="A342" s="22">
        <v>96</v>
      </c>
      <c r="B342" s="23">
        <v>45863</v>
      </c>
      <c r="C342" s="12" t="s">
        <v>20</v>
      </c>
      <c r="D342" s="12" t="s">
        <v>37</v>
      </c>
      <c r="E342" s="12" t="s">
        <v>32</v>
      </c>
      <c r="F342" s="12" t="s">
        <v>25</v>
      </c>
      <c r="G342" s="12" t="s">
        <v>19</v>
      </c>
      <c r="H342" s="24">
        <v>61.55</v>
      </c>
      <c r="I342" s="25">
        <v>37</v>
      </c>
      <c r="J342" s="26">
        <v>2277.35</v>
      </c>
      <c r="K342" s="27" t="str">
        <f>TEXT(Table1[[#This Row],[Date]],"MMMM")</f>
        <v>July</v>
      </c>
    </row>
    <row r="343" spans="1:11" x14ac:dyDescent="0.25">
      <c r="A343" s="22">
        <v>297</v>
      </c>
      <c r="B343" s="23">
        <v>45957</v>
      </c>
      <c r="C343" s="12" t="s">
        <v>10</v>
      </c>
      <c r="D343" s="12" t="s">
        <v>37</v>
      </c>
      <c r="E343" s="12" t="s">
        <v>12</v>
      </c>
      <c r="F343" s="12" t="s">
        <v>25</v>
      </c>
      <c r="G343" s="12" t="s">
        <v>19</v>
      </c>
      <c r="H343" s="24">
        <v>71.599999999999994</v>
      </c>
      <c r="I343" s="25">
        <v>27</v>
      </c>
      <c r="J343" s="26">
        <v>1933.2</v>
      </c>
      <c r="K343" s="27" t="str">
        <f>TEXT(Table1[[#This Row],[Date]],"MMMM")</f>
        <v>October</v>
      </c>
    </row>
    <row r="344" spans="1:11" x14ac:dyDescent="0.25">
      <c r="A344" s="22">
        <v>202</v>
      </c>
      <c r="B344" s="23">
        <v>45972</v>
      </c>
      <c r="C344" s="12" t="s">
        <v>35</v>
      </c>
      <c r="D344" s="12" t="s">
        <v>37</v>
      </c>
      <c r="E344" s="12" t="s">
        <v>29</v>
      </c>
      <c r="F344" s="12" t="s">
        <v>25</v>
      </c>
      <c r="G344" s="12" t="s">
        <v>19</v>
      </c>
      <c r="H344" s="24">
        <v>45.57</v>
      </c>
      <c r="I344" s="25">
        <v>37</v>
      </c>
      <c r="J344" s="26">
        <v>1686.09</v>
      </c>
      <c r="K344" s="27" t="str">
        <f>TEXT(Table1[[#This Row],[Date]],"MMMM")</f>
        <v>November</v>
      </c>
    </row>
    <row r="345" spans="1:11" x14ac:dyDescent="0.25">
      <c r="A345" s="22">
        <v>66</v>
      </c>
      <c r="B345" s="23">
        <v>45883</v>
      </c>
      <c r="C345" s="12" t="s">
        <v>30</v>
      </c>
      <c r="D345" s="12" t="s">
        <v>36</v>
      </c>
      <c r="E345" s="12" t="s">
        <v>24</v>
      </c>
      <c r="F345" s="12" t="s">
        <v>25</v>
      </c>
      <c r="G345" s="12" t="s">
        <v>14</v>
      </c>
      <c r="H345" s="24">
        <v>13.91</v>
      </c>
      <c r="I345" s="25">
        <v>19</v>
      </c>
      <c r="J345" s="26">
        <v>264.29000000000002</v>
      </c>
      <c r="K345" s="27" t="str">
        <f>TEXT(Table1[[#This Row],[Date]],"MMMM")</f>
        <v>August</v>
      </c>
    </row>
    <row r="346" spans="1:11" x14ac:dyDescent="0.25">
      <c r="A346" s="22">
        <v>467</v>
      </c>
      <c r="B346" s="23">
        <v>45772</v>
      </c>
      <c r="C346" s="12" t="s">
        <v>35</v>
      </c>
      <c r="D346" s="12" t="s">
        <v>31</v>
      </c>
      <c r="E346" s="12" t="s">
        <v>24</v>
      </c>
      <c r="F346" s="12" t="s">
        <v>25</v>
      </c>
      <c r="G346" s="12" t="s">
        <v>14</v>
      </c>
      <c r="H346" s="24">
        <v>90.58</v>
      </c>
      <c r="I346" s="25">
        <v>20</v>
      </c>
      <c r="J346" s="26">
        <v>1811.6</v>
      </c>
      <c r="K346" s="27" t="str">
        <f>TEXT(Table1[[#This Row],[Date]],"MMMM")</f>
        <v>April</v>
      </c>
    </row>
    <row r="347" spans="1:11" x14ac:dyDescent="0.25">
      <c r="A347" s="22">
        <v>217</v>
      </c>
      <c r="B347" s="23">
        <v>45885</v>
      </c>
      <c r="C347" s="12" t="s">
        <v>23</v>
      </c>
      <c r="D347" s="12" t="s">
        <v>31</v>
      </c>
      <c r="E347" s="12" t="s">
        <v>21</v>
      </c>
      <c r="F347" s="12" t="s">
        <v>25</v>
      </c>
      <c r="G347" s="12" t="s">
        <v>14</v>
      </c>
      <c r="H347" s="24">
        <v>92.75</v>
      </c>
      <c r="I347" s="25">
        <v>37</v>
      </c>
      <c r="J347" s="26">
        <v>3431.75</v>
      </c>
      <c r="K347" s="27" t="str">
        <f>TEXT(Table1[[#This Row],[Date]],"MMMM")</f>
        <v>August</v>
      </c>
    </row>
    <row r="348" spans="1:11" x14ac:dyDescent="0.25">
      <c r="A348" s="22">
        <v>418</v>
      </c>
      <c r="B348" s="23">
        <v>45958</v>
      </c>
      <c r="C348" s="12" t="s">
        <v>15</v>
      </c>
      <c r="D348" s="12" t="s">
        <v>31</v>
      </c>
      <c r="E348" s="12" t="s">
        <v>29</v>
      </c>
      <c r="F348" s="12" t="s">
        <v>25</v>
      </c>
      <c r="G348" s="12" t="s">
        <v>14</v>
      </c>
      <c r="H348" s="24">
        <v>86.04</v>
      </c>
      <c r="I348" s="25">
        <v>10</v>
      </c>
      <c r="J348" s="26">
        <v>860.4</v>
      </c>
      <c r="K348" s="27" t="str">
        <f>TEXT(Table1[[#This Row],[Date]],"MMMM")</f>
        <v>October</v>
      </c>
    </row>
    <row r="349" spans="1:11" x14ac:dyDescent="0.25">
      <c r="A349" s="22">
        <v>454</v>
      </c>
      <c r="B349" s="23">
        <v>45962</v>
      </c>
      <c r="C349" s="12" t="s">
        <v>28</v>
      </c>
      <c r="D349" s="12" t="s">
        <v>31</v>
      </c>
      <c r="E349" s="12" t="s">
        <v>32</v>
      </c>
      <c r="F349" s="12" t="s">
        <v>25</v>
      </c>
      <c r="G349" s="12" t="s">
        <v>14</v>
      </c>
      <c r="H349" s="24">
        <v>56.3</v>
      </c>
      <c r="I349" s="25">
        <v>31</v>
      </c>
      <c r="J349" s="26">
        <v>1745.3</v>
      </c>
      <c r="K349" s="27" t="str">
        <f>TEXT(Table1[[#This Row],[Date]],"MMMM")</f>
        <v>November</v>
      </c>
    </row>
    <row r="350" spans="1:11" x14ac:dyDescent="0.25">
      <c r="A350" s="22">
        <v>123</v>
      </c>
      <c r="B350" s="23">
        <v>45977</v>
      </c>
      <c r="C350" s="12" t="s">
        <v>15</v>
      </c>
      <c r="D350" s="12" t="s">
        <v>31</v>
      </c>
      <c r="E350" s="12" t="s">
        <v>21</v>
      </c>
      <c r="F350" s="12" t="s">
        <v>25</v>
      </c>
      <c r="G350" s="12" t="s">
        <v>14</v>
      </c>
      <c r="H350" s="24">
        <v>84.66</v>
      </c>
      <c r="I350" s="25">
        <v>42</v>
      </c>
      <c r="J350" s="26">
        <v>3555.72</v>
      </c>
      <c r="K350" s="27" t="str">
        <f>TEXT(Table1[[#This Row],[Date]],"MMMM")</f>
        <v>November</v>
      </c>
    </row>
    <row r="351" spans="1:11" x14ac:dyDescent="0.25">
      <c r="A351" s="22">
        <v>9</v>
      </c>
      <c r="B351" s="23">
        <v>45983</v>
      </c>
      <c r="C351" s="12" t="s">
        <v>28</v>
      </c>
      <c r="D351" s="12" t="s">
        <v>31</v>
      </c>
      <c r="E351" s="12" t="s">
        <v>12</v>
      </c>
      <c r="F351" s="12" t="s">
        <v>25</v>
      </c>
      <c r="G351" s="12" t="s">
        <v>14</v>
      </c>
      <c r="H351" s="24">
        <v>100.92</v>
      </c>
      <c r="I351" s="25">
        <v>11</v>
      </c>
      <c r="J351" s="26">
        <v>1110.1199999999999</v>
      </c>
      <c r="K351" s="27" t="str">
        <f>TEXT(Table1[[#This Row],[Date]],"MMMM")</f>
        <v>November</v>
      </c>
    </row>
    <row r="352" spans="1:11" x14ac:dyDescent="0.25">
      <c r="A352" s="22">
        <v>457</v>
      </c>
      <c r="B352" s="23">
        <v>45725</v>
      </c>
      <c r="C352" s="12" t="s">
        <v>20</v>
      </c>
      <c r="D352" s="12" t="s">
        <v>11</v>
      </c>
      <c r="E352" s="12" t="s">
        <v>34</v>
      </c>
      <c r="F352" s="12" t="s">
        <v>25</v>
      </c>
      <c r="G352" s="12" t="s">
        <v>14</v>
      </c>
      <c r="H352" s="24">
        <v>79.45</v>
      </c>
      <c r="I352" s="25">
        <v>39</v>
      </c>
      <c r="J352" s="26">
        <v>3098.55</v>
      </c>
      <c r="K352" s="27" t="str">
        <f>TEXT(Table1[[#This Row],[Date]],"MMMM")</f>
        <v>March</v>
      </c>
    </row>
    <row r="353" spans="1:11" x14ac:dyDescent="0.25">
      <c r="A353" s="22">
        <v>131</v>
      </c>
      <c r="B353" s="23">
        <v>45759</v>
      </c>
      <c r="C353" s="12" t="s">
        <v>15</v>
      </c>
      <c r="D353" s="12" t="s">
        <v>11</v>
      </c>
      <c r="E353" s="12" t="s">
        <v>21</v>
      </c>
      <c r="F353" s="12" t="s">
        <v>25</v>
      </c>
      <c r="G353" s="12" t="s">
        <v>14</v>
      </c>
      <c r="H353" s="24">
        <v>119.93</v>
      </c>
      <c r="I353" s="25">
        <v>31</v>
      </c>
      <c r="J353" s="26">
        <v>3717.83</v>
      </c>
      <c r="K353" s="27" t="str">
        <f>TEXT(Table1[[#This Row],[Date]],"MMMM")</f>
        <v>April</v>
      </c>
    </row>
    <row r="354" spans="1:11" x14ac:dyDescent="0.25">
      <c r="A354" s="22">
        <v>288</v>
      </c>
      <c r="B354" s="23">
        <v>45811</v>
      </c>
      <c r="C354" s="12" t="s">
        <v>27</v>
      </c>
      <c r="D354" s="12" t="s">
        <v>11</v>
      </c>
      <c r="E354" s="12" t="s">
        <v>12</v>
      </c>
      <c r="F354" s="12" t="s">
        <v>25</v>
      </c>
      <c r="G354" s="12" t="s">
        <v>14</v>
      </c>
      <c r="H354" s="24">
        <v>48.29</v>
      </c>
      <c r="I354" s="25">
        <v>49</v>
      </c>
      <c r="J354" s="26">
        <v>2366.21</v>
      </c>
      <c r="K354" s="27" t="str">
        <f>TEXT(Table1[[#This Row],[Date]],"MMMM")</f>
        <v>June</v>
      </c>
    </row>
    <row r="355" spans="1:11" x14ac:dyDescent="0.25">
      <c r="A355" s="22">
        <v>448</v>
      </c>
      <c r="B355" s="23">
        <v>45817</v>
      </c>
      <c r="C355" s="12" t="s">
        <v>15</v>
      </c>
      <c r="D355" s="12" t="s">
        <v>11</v>
      </c>
      <c r="E355" s="12" t="s">
        <v>32</v>
      </c>
      <c r="F355" s="12" t="s">
        <v>25</v>
      </c>
      <c r="G355" s="12" t="s">
        <v>14</v>
      </c>
      <c r="H355" s="24">
        <v>37.24</v>
      </c>
      <c r="I355" s="25">
        <v>32</v>
      </c>
      <c r="J355" s="26">
        <v>1191.68</v>
      </c>
      <c r="K355" s="27" t="str">
        <f>TEXT(Table1[[#This Row],[Date]],"MMMM")</f>
        <v>June</v>
      </c>
    </row>
    <row r="356" spans="1:11" x14ac:dyDescent="0.25">
      <c r="A356" s="22">
        <v>105</v>
      </c>
      <c r="B356" s="23">
        <v>45823</v>
      </c>
      <c r="C356" s="12" t="s">
        <v>15</v>
      </c>
      <c r="D356" s="12" t="s">
        <v>11</v>
      </c>
      <c r="E356" s="12" t="s">
        <v>17</v>
      </c>
      <c r="F356" s="12" t="s">
        <v>25</v>
      </c>
      <c r="G356" s="12" t="s">
        <v>14</v>
      </c>
      <c r="H356" s="24">
        <v>74.430000000000007</v>
      </c>
      <c r="I356" s="25">
        <v>2</v>
      </c>
      <c r="J356" s="26">
        <v>148.86000000000001</v>
      </c>
      <c r="K356" s="27" t="str">
        <f>TEXT(Table1[[#This Row],[Date]],"MMMM")</f>
        <v>June</v>
      </c>
    </row>
    <row r="357" spans="1:11" x14ac:dyDescent="0.25">
      <c r="A357" s="22">
        <v>389</v>
      </c>
      <c r="B357" s="23">
        <v>45846</v>
      </c>
      <c r="C357" s="12" t="s">
        <v>10</v>
      </c>
      <c r="D357" s="12" t="s">
        <v>11</v>
      </c>
      <c r="E357" s="12" t="s">
        <v>39</v>
      </c>
      <c r="F357" s="12" t="s">
        <v>25</v>
      </c>
      <c r="G357" s="12" t="s">
        <v>14</v>
      </c>
      <c r="H357" s="24">
        <v>28.08</v>
      </c>
      <c r="I357" s="25">
        <v>37</v>
      </c>
      <c r="J357" s="26">
        <v>1038.96</v>
      </c>
      <c r="K357" s="27" t="str">
        <f>TEXT(Table1[[#This Row],[Date]],"MMMM")</f>
        <v>July</v>
      </c>
    </row>
    <row r="358" spans="1:11" x14ac:dyDescent="0.25">
      <c r="A358" s="22">
        <v>257</v>
      </c>
      <c r="B358" s="23">
        <v>45884</v>
      </c>
      <c r="C358" s="12" t="s">
        <v>27</v>
      </c>
      <c r="D358" s="12" t="s">
        <v>11</v>
      </c>
      <c r="E358" s="12" t="s">
        <v>12</v>
      </c>
      <c r="F358" s="12" t="s">
        <v>25</v>
      </c>
      <c r="G358" s="12" t="s">
        <v>14</v>
      </c>
      <c r="H358" s="24">
        <v>80.44</v>
      </c>
      <c r="I358" s="25">
        <v>48</v>
      </c>
      <c r="J358" s="26">
        <v>3861.12</v>
      </c>
      <c r="K358" s="27" t="str">
        <f>TEXT(Table1[[#This Row],[Date]],"MMMM")</f>
        <v>August</v>
      </c>
    </row>
    <row r="359" spans="1:11" x14ac:dyDescent="0.25">
      <c r="A359" s="22">
        <v>464</v>
      </c>
      <c r="B359" s="23">
        <v>46020</v>
      </c>
      <c r="C359" s="12" t="s">
        <v>28</v>
      </c>
      <c r="D359" s="12" t="s">
        <v>11</v>
      </c>
      <c r="E359" s="12" t="s">
        <v>39</v>
      </c>
      <c r="F359" s="12" t="s">
        <v>25</v>
      </c>
      <c r="G359" s="12" t="s">
        <v>14</v>
      </c>
      <c r="H359" s="24">
        <v>119.4</v>
      </c>
      <c r="I359" s="25">
        <v>13</v>
      </c>
      <c r="J359" s="26">
        <v>1552.2</v>
      </c>
      <c r="K359" s="27" t="str">
        <f>TEXT(Table1[[#This Row],[Date]],"MMMM")</f>
        <v>December</v>
      </c>
    </row>
    <row r="360" spans="1:11" x14ac:dyDescent="0.25">
      <c r="A360" s="22">
        <v>416</v>
      </c>
      <c r="B360" s="23">
        <v>45686</v>
      </c>
      <c r="C360" s="12" t="s">
        <v>20</v>
      </c>
      <c r="D360" s="12" t="s">
        <v>38</v>
      </c>
      <c r="E360" s="12" t="s">
        <v>17</v>
      </c>
      <c r="F360" s="12" t="s">
        <v>25</v>
      </c>
      <c r="G360" s="12" t="s">
        <v>14</v>
      </c>
      <c r="H360" s="24">
        <v>31.75</v>
      </c>
      <c r="I360" s="25">
        <v>15</v>
      </c>
      <c r="J360" s="26">
        <v>476.25</v>
      </c>
      <c r="K360" s="27" t="str">
        <f>TEXT(Table1[[#This Row],[Date]],"MMMM")</f>
        <v>January</v>
      </c>
    </row>
    <row r="361" spans="1:11" x14ac:dyDescent="0.25">
      <c r="A361" s="22">
        <v>470</v>
      </c>
      <c r="B361" s="23">
        <v>45728</v>
      </c>
      <c r="C361" s="12" t="s">
        <v>35</v>
      </c>
      <c r="D361" s="12" t="s">
        <v>38</v>
      </c>
      <c r="E361" s="12" t="s">
        <v>32</v>
      </c>
      <c r="F361" s="12" t="s">
        <v>25</v>
      </c>
      <c r="G361" s="12" t="s">
        <v>14</v>
      </c>
      <c r="H361" s="24">
        <v>119.12</v>
      </c>
      <c r="I361" s="25">
        <v>22</v>
      </c>
      <c r="J361" s="26">
        <v>2620.64</v>
      </c>
      <c r="K361" s="27" t="str">
        <f>TEXT(Table1[[#This Row],[Date]],"MMMM")</f>
        <v>March</v>
      </c>
    </row>
    <row r="362" spans="1:11" x14ac:dyDescent="0.25">
      <c r="A362" s="22">
        <v>213</v>
      </c>
      <c r="B362" s="23">
        <v>45876</v>
      </c>
      <c r="C362" s="12" t="s">
        <v>28</v>
      </c>
      <c r="D362" s="12" t="s">
        <v>38</v>
      </c>
      <c r="E362" s="12" t="s">
        <v>17</v>
      </c>
      <c r="F362" s="12" t="s">
        <v>25</v>
      </c>
      <c r="G362" s="12" t="s">
        <v>14</v>
      </c>
      <c r="H362" s="24">
        <v>24.16</v>
      </c>
      <c r="I362" s="25">
        <v>29</v>
      </c>
      <c r="J362" s="26">
        <v>700.64</v>
      </c>
      <c r="K362" s="27" t="str">
        <f>TEXT(Table1[[#This Row],[Date]],"MMMM")</f>
        <v>August</v>
      </c>
    </row>
    <row r="363" spans="1:11" x14ac:dyDescent="0.25">
      <c r="A363" s="22">
        <v>181</v>
      </c>
      <c r="B363" s="23">
        <v>45962</v>
      </c>
      <c r="C363" s="12" t="s">
        <v>20</v>
      </c>
      <c r="D363" s="12" t="s">
        <v>38</v>
      </c>
      <c r="E363" s="12" t="s">
        <v>12</v>
      </c>
      <c r="F363" s="12" t="s">
        <v>25</v>
      </c>
      <c r="G363" s="12" t="s">
        <v>14</v>
      </c>
      <c r="H363" s="24">
        <v>63.31</v>
      </c>
      <c r="I363" s="25">
        <v>30</v>
      </c>
      <c r="J363" s="26">
        <v>1899.3</v>
      </c>
      <c r="K363" s="27" t="str">
        <f>TEXT(Table1[[#This Row],[Date]],"MMMM")</f>
        <v>November</v>
      </c>
    </row>
    <row r="364" spans="1:11" x14ac:dyDescent="0.25">
      <c r="A364" s="22">
        <v>422</v>
      </c>
      <c r="B364" s="23">
        <v>45658</v>
      </c>
      <c r="C364" s="12" t="s">
        <v>35</v>
      </c>
      <c r="D364" s="12" t="s">
        <v>40</v>
      </c>
      <c r="E364" s="12" t="s">
        <v>32</v>
      </c>
      <c r="F364" s="12" t="s">
        <v>25</v>
      </c>
      <c r="G364" s="12" t="s">
        <v>14</v>
      </c>
      <c r="H364" s="24">
        <v>114.11</v>
      </c>
      <c r="I364" s="25">
        <v>37</v>
      </c>
      <c r="J364" s="26">
        <v>4222.07</v>
      </c>
      <c r="K364" s="27" t="str">
        <f>TEXT(Table1[[#This Row],[Date]],"MMMM")</f>
        <v>January</v>
      </c>
    </row>
    <row r="365" spans="1:11" x14ac:dyDescent="0.25">
      <c r="A365" s="22">
        <v>446</v>
      </c>
      <c r="B365" s="23">
        <v>45731</v>
      </c>
      <c r="C365" s="12" t="s">
        <v>35</v>
      </c>
      <c r="D365" s="12" t="s">
        <v>40</v>
      </c>
      <c r="E365" s="12" t="s">
        <v>21</v>
      </c>
      <c r="F365" s="12" t="s">
        <v>25</v>
      </c>
      <c r="G365" s="12" t="s">
        <v>14</v>
      </c>
      <c r="H365" s="24">
        <v>76.099999999999994</v>
      </c>
      <c r="I365" s="25">
        <v>44</v>
      </c>
      <c r="J365" s="26">
        <v>3348.4</v>
      </c>
      <c r="K365" s="27" t="str">
        <f>TEXT(Table1[[#This Row],[Date]],"MMMM")</f>
        <v>March</v>
      </c>
    </row>
    <row r="366" spans="1:11" x14ac:dyDescent="0.25">
      <c r="A366" s="22">
        <v>488</v>
      </c>
      <c r="B366" s="23">
        <v>45793</v>
      </c>
      <c r="C366" s="12" t="s">
        <v>23</v>
      </c>
      <c r="D366" s="12" t="s">
        <v>40</v>
      </c>
      <c r="E366" s="12" t="s">
        <v>34</v>
      </c>
      <c r="F366" s="12" t="s">
        <v>25</v>
      </c>
      <c r="G366" s="12" t="s">
        <v>14</v>
      </c>
      <c r="H366" s="24">
        <v>58.39</v>
      </c>
      <c r="I366" s="25">
        <v>7</v>
      </c>
      <c r="J366" s="26">
        <v>408.73</v>
      </c>
      <c r="K366" s="27" t="str">
        <f>TEXT(Table1[[#This Row],[Date]],"MMMM")</f>
        <v>May</v>
      </c>
    </row>
    <row r="367" spans="1:11" x14ac:dyDescent="0.25">
      <c r="A367" s="22">
        <v>411</v>
      </c>
      <c r="B367" s="23">
        <v>45821</v>
      </c>
      <c r="C367" s="12" t="s">
        <v>10</v>
      </c>
      <c r="D367" s="12" t="s">
        <v>40</v>
      </c>
      <c r="E367" s="12" t="s">
        <v>39</v>
      </c>
      <c r="F367" s="12" t="s">
        <v>25</v>
      </c>
      <c r="G367" s="12" t="s">
        <v>14</v>
      </c>
      <c r="H367" s="24">
        <v>73.67</v>
      </c>
      <c r="I367" s="25">
        <v>2</v>
      </c>
      <c r="J367" s="26">
        <v>147.34</v>
      </c>
      <c r="K367" s="27" t="str">
        <f>TEXT(Table1[[#This Row],[Date]],"MMMM")</f>
        <v>June</v>
      </c>
    </row>
    <row r="368" spans="1:11" x14ac:dyDescent="0.25">
      <c r="A368" s="22">
        <v>495</v>
      </c>
      <c r="B368" s="23">
        <v>45883</v>
      </c>
      <c r="C368" s="12" t="s">
        <v>28</v>
      </c>
      <c r="D368" s="12" t="s">
        <v>40</v>
      </c>
      <c r="E368" s="12" t="s">
        <v>12</v>
      </c>
      <c r="F368" s="12" t="s">
        <v>25</v>
      </c>
      <c r="G368" s="12" t="s">
        <v>14</v>
      </c>
      <c r="H368" s="24">
        <v>10.29</v>
      </c>
      <c r="I368" s="25">
        <v>17</v>
      </c>
      <c r="J368" s="26">
        <v>174.93</v>
      </c>
      <c r="K368" s="27" t="str">
        <f>TEXT(Table1[[#This Row],[Date]],"MMMM")</f>
        <v>August</v>
      </c>
    </row>
    <row r="369" spans="1:11" x14ac:dyDescent="0.25">
      <c r="A369" s="22">
        <v>142</v>
      </c>
      <c r="B369" s="23">
        <v>45717</v>
      </c>
      <c r="C369" s="12" t="s">
        <v>23</v>
      </c>
      <c r="D369" s="12" t="s">
        <v>16</v>
      </c>
      <c r="E369" s="12" t="s">
        <v>39</v>
      </c>
      <c r="F369" s="12" t="s">
        <v>25</v>
      </c>
      <c r="G369" s="12" t="s">
        <v>14</v>
      </c>
      <c r="H369" s="24">
        <v>16.18</v>
      </c>
      <c r="I369" s="25">
        <v>35</v>
      </c>
      <c r="J369" s="26">
        <v>566.29999999999995</v>
      </c>
      <c r="K369" s="27" t="str">
        <f>TEXT(Table1[[#This Row],[Date]],"MMMM")</f>
        <v>March</v>
      </c>
    </row>
    <row r="370" spans="1:11" x14ac:dyDescent="0.25">
      <c r="A370" s="22">
        <v>377</v>
      </c>
      <c r="B370" s="23">
        <v>45762</v>
      </c>
      <c r="C370" s="12" t="s">
        <v>28</v>
      </c>
      <c r="D370" s="12" t="s">
        <v>16</v>
      </c>
      <c r="E370" s="12" t="s">
        <v>29</v>
      </c>
      <c r="F370" s="12" t="s">
        <v>25</v>
      </c>
      <c r="G370" s="12" t="s">
        <v>14</v>
      </c>
      <c r="H370" s="24">
        <v>117.05</v>
      </c>
      <c r="I370" s="25">
        <v>10</v>
      </c>
      <c r="J370" s="26">
        <v>1170.5</v>
      </c>
      <c r="K370" s="27" t="str">
        <f>TEXT(Table1[[#This Row],[Date]],"MMMM")</f>
        <v>April</v>
      </c>
    </row>
    <row r="371" spans="1:11" x14ac:dyDescent="0.25">
      <c r="A371" s="22">
        <v>108</v>
      </c>
      <c r="B371" s="23">
        <v>45822</v>
      </c>
      <c r="C371" s="12" t="s">
        <v>28</v>
      </c>
      <c r="D371" s="12" t="s">
        <v>16</v>
      </c>
      <c r="E371" s="12" t="s">
        <v>39</v>
      </c>
      <c r="F371" s="12" t="s">
        <v>25</v>
      </c>
      <c r="G371" s="12" t="s">
        <v>14</v>
      </c>
      <c r="H371" s="24">
        <v>82.07</v>
      </c>
      <c r="I371" s="25">
        <v>11</v>
      </c>
      <c r="J371" s="26">
        <v>902.77</v>
      </c>
      <c r="K371" s="27" t="str">
        <f>TEXT(Table1[[#This Row],[Date]],"MMMM")</f>
        <v>June</v>
      </c>
    </row>
    <row r="372" spans="1:11" x14ac:dyDescent="0.25">
      <c r="A372" s="22">
        <v>135</v>
      </c>
      <c r="B372" s="23">
        <v>45675</v>
      </c>
      <c r="C372" s="12" t="s">
        <v>23</v>
      </c>
      <c r="D372" s="12" t="s">
        <v>26</v>
      </c>
      <c r="E372" s="12" t="s">
        <v>34</v>
      </c>
      <c r="F372" s="12" t="s">
        <v>25</v>
      </c>
      <c r="G372" s="12" t="s">
        <v>14</v>
      </c>
      <c r="H372" s="24">
        <v>71.650000000000006</v>
      </c>
      <c r="I372" s="25">
        <v>47</v>
      </c>
      <c r="J372" s="26">
        <v>3367.55</v>
      </c>
      <c r="K372" s="27" t="str">
        <f>TEXT(Table1[[#This Row],[Date]],"MMMM")</f>
        <v>January</v>
      </c>
    </row>
    <row r="373" spans="1:11" x14ac:dyDescent="0.25">
      <c r="A373" s="22">
        <v>174</v>
      </c>
      <c r="B373" s="23">
        <v>45712</v>
      </c>
      <c r="C373" s="12" t="s">
        <v>35</v>
      </c>
      <c r="D373" s="12" t="s">
        <v>26</v>
      </c>
      <c r="E373" s="12" t="s">
        <v>21</v>
      </c>
      <c r="F373" s="12" t="s">
        <v>25</v>
      </c>
      <c r="G373" s="12" t="s">
        <v>14</v>
      </c>
      <c r="H373" s="24">
        <v>32.979999999999997</v>
      </c>
      <c r="I373" s="25">
        <v>38</v>
      </c>
      <c r="J373" s="26">
        <v>1253.24</v>
      </c>
      <c r="K373" s="27" t="str">
        <f>TEXT(Table1[[#This Row],[Date]],"MMMM")</f>
        <v>February</v>
      </c>
    </row>
    <row r="374" spans="1:11" x14ac:dyDescent="0.25">
      <c r="A374" s="22">
        <v>270</v>
      </c>
      <c r="B374" s="23">
        <v>45865</v>
      </c>
      <c r="C374" s="12" t="s">
        <v>10</v>
      </c>
      <c r="D374" s="12" t="s">
        <v>26</v>
      </c>
      <c r="E374" s="12" t="s">
        <v>34</v>
      </c>
      <c r="F374" s="12" t="s">
        <v>25</v>
      </c>
      <c r="G374" s="12" t="s">
        <v>14</v>
      </c>
      <c r="H374" s="24">
        <v>83.9</v>
      </c>
      <c r="I374" s="25">
        <v>46</v>
      </c>
      <c r="J374" s="26">
        <v>3859.4</v>
      </c>
      <c r="K374" s="27" t="str">
        <f>TEXT(Table1[[#This Row],[Date]],"MMMM")</f>
        <v>July</v>
      </c>
    </row>
    <row r="375" spans="1:11" x14ac:dyDescent="0.25">
      <c r="A375" s="22">
        <v>459</v>
      </c>
      <c r="B375" s="23">
        <v>45896</v>
      </c>
      <c r="C375" s="12" t="s">
        <v>35</v>
      </c>
      <c r="D375" s="12" t="s">
        <v>26</v>
      </c>
      <c r="E375" s="12" t="s">
        <v>17</v>
      </c>
      <c r="F375" s="12" t="s">
        <v>25</v>
      </c>
      <c r="G375" s="12" t="s">
        <v>14</v>
      </c>
      <c r="H375" s="24">
        <v>39.75</v>
      </c>
      <c r="I375" s="25">
        <v>34</v>
      </c>
      <c r="J375" s="26">
        <v>1351.5</v>
      </c>
      <c r="K375" s="27" t="str">
        <f>TEXT(Table1[[#This Row],[Date]],"MMMM")</f>
        <v>August</v>
      </c>
    </row>
    <row r="376" spans="1:11" x14ac:dyDescent="0.25">
      <c r="A376" s="22">
        <v>158</v>
      </c>
      <c r="B376" s="23">
        <v>45705</v>
      </c>
      <c r="C376" s="12" t="s">
        <v>28</v>
      </c>
      <c r="D376" s="12" t="s">
        <v>37</v>
      </c>
      <c r="E376" s="12" t="s">
        <v>17</v>
      </c>
      <c r="F376" s="12" t="s">
        <v>25</v>
      </c>
      <c r="G376" s="12" t="s">
        <v>14</v>
      </c>
      <c r="H376" s="24">
        <v>54.67</v>
      </c>
      <c r="I376" s="25">
        <v>48</v>
      </c>
      <c r="J376" s="26">
        <v>2624.16</v>
      </c>
      <c r="K376" s="27" t="str">
        <f>TEXT(Table1[[#This Row],[Date]],"MMMM")</f>
        <v>February</v>
      </c>
    </row>
    <row r="377" spans="1:11" x14ac:dyDescent="0.25">
      <c r="A377" s="22">
        <v>296</v>
      </c>
      <c r="B377" s="23">
        <v>45847</v>
      </c>
      <c r="C377" s="12" t="s">
        <v>30</v>
      </c>
      <c r="D377" s="12" t="s">
        <v>37</v>
      </c>
      <c r="E377" s="12" t="s">
        <v>17</v>
      </c>
      <c r="F377" s="12" t="s">
        <v>25</v>
      </c>
      <c r="G377" s="12" t="s">
        <v>14</v>
      </c>
      <c r="H377" s="24">
        <v>40.99</v>
      </c>
      <c r="I377" s="25">
        <v>3</v>
      </c>
      <c r="J377" s="26">
        <v>122.97</v>
      </c>
      <c r="K377" s="27" t="str">
        <f>TEXT(Table1[[#This Row],[Date]],"MMMM")</f>
        <v>July</v>
      </c>
    </row>
    <row r="378" spans="1:11" x14ac:dyDescent="0.25">
      <c r="A378" s="22">
        <v>493</v>
      </c>
      <c r="B378" s="23">
        <v>45871</v>
      </c>
      <c r="C378" s="12" t="s">
        <v>27</v>
      </c>
      <c r="D378" s="12" t="s">
        <v>37</v>
      </c>
      <c r="E378" s="12" t="s">
        <v>21</v>
      </c>
      <c r="F378" s="12" t="s">
        <v>25</v>
      </c>
      <c r="G378" s="12" t="s">
        <v>14</v>
      </c>
      <c r="H378" s="24">
        <v>109.79</v>
      </c>
      <c r="I378" s="25">
        <v>31</v>
      </c>
      <c r="J378" s="26">
        <v>3403.49</v>
      </c>
      <c r="K378" s="27" t="str">
        <f>TEXT(Table1[[#This Row],[Date]],"MMMM")</f>
        <v>August</v>
      </c>
    </row>
    <row r="379" spans="1:11" x14ac:dyDescent="0.25">
      <c r="A379" s="22">
        <v>336</v>
      </c>
      <c r="B379" s="23">
        <v>45989</v>
      </c>
      <c r="C379" s="12" t="s">
        <v>30</v>
      </c>
      <c r="D379" s="12" t="s">
        <v>37</v>
      </c>
      <c r="E379" s="12" t="s">
        <v>32</v>
      </c>
      <c r="F379" s="12" t="s">
        <v>25</v>
      </c>
      <c r="G379" s="12" t="s">
        <v>14</v>
      </c>
      <c r="H379" s="24">
        <v>17.579999999999998</v>
      </c>
      <c r="I379" s="25">
        <v>11</v>
      </c>
      <c r="J379" s="26">
        <v>193.38</v>
      </c>
      <c r="K379" s="27" t="str">
        <f>TEXT(Table1[[#This Row],[Date]],"MMMM")</f>
        <v>November</v>
      </c>
    </row>
    <row r="380" spans="1:11" x14ac:dyDescent="0.25">
      <c r="A380" s="22">
        <v>205</v>
      </c>
      <c r="B380" s="23">
        <v>45994</v>
      </c>
      <c r="C380" s="12" t="s">
        <v>28</v>
      </c>
      <c r="D380" s="12" t="s">
        <v>37</v>
      </c>
      <c r="E380" s="12" t="s">
        <v>17</v>
      </c>
      <c r="F380" s="12" t="s">
        <v>25</v>
      </c>
      <c r="G380" s="12" t="s">
        <v>14</v>
      </c>
      <c r="H380" s="24">
        <v>77.25</v>
      </c>
      <c r="I380" s="25">
        <v>50</v>
      </c>
      <c r="J380" s="26">
        <v>3862.5</v>
      </c>
      <c r="K380" s="27" t="str">
        <f>TEXT(Table1[[#This Row],[Date]],"MMMM")</f>
        <v>December</v>
      </c>
    </row>
    <row r="381" spans="1:11" x14ac:dyDescent="0.25">
      <c r="A381" s="22">
        <v>491</v>
      </c>
      <c r="B381" s="23">
        <v>45751</v>
      </c>
      <c r="C381" s="12" t="s">
        <v>27</v>
      </c>
      <c r="D381" s="12" t="s">
        <v>36</v>
      </c>
      <c r="E381" s="12" t="s">
        <v>21</v>
      </c>
      <c r="F381" s="12" t="s">
        <v>33</v>
      </c>
      <c r="G381" s="12" t="s">
        <v>22</v>
      </c>
      <c r="H381" s="24">
        <v>18.09</v>
      </c>
      <c r="I381" s="25">
        <v>26</v>
      </c>
      <c r="J381" s="26">
        <v>470.34</v>
      </c>
      <c r="K381" s="27" t="str">
        <f>TEXT(Table1[[#This Row],[Date]],"MMMM")</f>
        <v>April</v>
      </c>
    </row>
    <row r="382" spans="1:11" x14ac:dyDescent="0.25">
      <c r="A382" s="22">
        <v>349</v>
      </c>
      <c r="B382" s="23">
        <v>45769</v>
      </c>
      <c r="C382" s="12" t="s">
        <v>30</v>
      </c>
      <c r="D382" s="12" t="s">
        <v>36</v>
      </c>
      <c r="E382" s="12" t="s">
        <v>17</v>
      </c>
      <c r="F382" s="12" t="s">
        <v>33</v>
      </c>
      <c r="G382" s="12" t="s">
        <v>22</v>
      </c>
      <c r="H382" s="24">
        <v>118.82</v>
      </c>
      <c r="I382" s="25">
        <v>7</v>
      </c>
      <c r="J382" s="26">
        <v>831.74</v>
      </c>
      <c r="K382" s="27" t="str">
        <f>TEXT(Table1[[#This Row],[Date]],"MMMM")</f>
        <v>April</v>
      </c>
    </row>
    <row r="383" spans="1:11" x14ac:dyDescent="0.25">
      <c r="A383" s="22">
        <v>55</v>
      </c>
      <c r="B383" s="23">
        <v>45827</v>
      </c>
      <c r="C383" s="12" t="s">
        <v>15</v>
      </c>
      <c r="D383" s="12" t="s">
        <v>36</v>
      </c>
      <c r="E383" s="12" t="s">
        <v>34</v>
      </c>
      <c r="F383" s="12" t="s">
        <v>33</v>
      </c>
      <c r="G383" s="12" t="s">
        <v>22</v>
      </c>
      <c r="H383" s="24">
        <v>76.66</v>
      </c>
      <c r="I383" s="25">
        <v>43</v>
      </c>
      <c r="J383" s="26">
        <v>3296.38</v>
      </c>
      <c r="K383" s="27" t="str">
        <f>TEXT(Table1[[#This Row],[Date]],"MMMM")</f>
        <v>June</v>
      </c>
    </row>
    <row r="384" spans="1:11" x14ac:dyDescent="0.25">
      <c r="A384" s="22">
        <v>255</v>
      </c>
      <c r="B384" s="23">
        <v>45836</v>
      </c>
      <c r="C384" s="12" t="s">
        <v>10</v>
      </c>
      <c r="D384" s="12" t="s">
        <v>36</v>
      </c>
      <c r="E384" s="12" t="s">
        <v>29</v>
      </c>
      <c r="F384" s="12" t="s">
        <v>33</v>
      </c>
      <c r="G384" s="12" t="s">
        <v>22</v>
      </c>
      <c r="H384" s="24">
        <v>69.459999999999994</v>
      </c>
      <c r="I384" s="25">
        <v>47</v>
      </c>
      <c r="J384" s="26">
        <v>3264.62</v>
      </c>
      <c r="K384" s="27" t="str">
        <f>TEXT(Table1[[#This Row],[Date]],"MMMM")</f>
        <v>June</v>
      </c>
    </row>
    <row r="385" spans="1:11" x14ac:dyDescent="0.25">
      <c r="A385" s="22">
        <v>487</v>
      </c>
      <c r="B385" s="23">
        <v>45919</v>
      </c>
      <c r="C385" s="12" t="s">
        <v>15</v>
      </c>
      <c r="D385" s="12" t="s">
        <v>36</v>
      </c>
      <c r="E385" s="12" t="s">
        <v>12</v>
      </c>
      <c r="F385" s="12" t="s">
        <v>33</v>
      </c>
      <c r="G385" s="12" t="s">
        <v>22</v>
      </c>
      <c r="H385" s="24">
        <v>13.63</v>
      </c>
      <c r="I385" s="25">
        <v>47</v>
      </c>
      <c r="J385" s="26">
        <v>640.61</v>
      </c>
      <c r="K385" s="27" t="str">
        <f>TEXT(Table1[[#This Row],[Date]],"MMMM")</f>
        <v>September</v>
      </c>
    </row>
    <row r="386" spans="1:11" x14ac:dyDescent="0.25">
      <c r="A386" s="22">
        <v>322</v>
      </c>
      <c r="B386" s="23">
        <v>45973</v>
      </c>
      <c r="C386" s="12" t="s">
        <v>23</v>
      </c>
      <c r="D386" s="12" t="s">
        <v>36</v>
      </c>
      <c r="E386" s="12" t="s">
        <v>17</v>
      </c>
      <c r="F386" s="12" t="s">
        <v>33</v>
      </c>
      <c r="G386" s="12" t="s">
        <v>22</v>
      </c>
      <c r="H386" s="24">
        <v>27.49</v>
      </c>
      <c r="I386" s="25">
        <v>7</v>
      </c>
      <c r="J386" s="26">
        <v>192.43</v>
      </c>
      <c r="K386" s="27" t="str">
        <f>TEXT(Table1[[#This Row],[Date]],"MMMM")</f>
        <v>November</v>
      </c>
    </row>
    <row r="387" spans="1:11" x14ac:dyDescent="0.25">
      <c r="A387" s="22">
        <v>342</v>
      </c>
      <c r="B387" s="23">
        <v>45718</v>
      </c>
      <c r="C387" s="12" t="s">
        <v>23</v>
      </c>
      <c r="D387" s="12" t="s">
        <v>31</v>
      </c>
      <c r="E387" s="12" t="s">
        <v>32</v>
      </c>
      <c r="F387" s="12" t="s">
        <v>33</v>
      </c>
      <c r="G387" s="12" t="s">
        <v>22</v>
      </c>
      <c r="H387" s="24">
        <v>32.44</v>
      </c>
      <c r="I387" s="25">
        <v>8</v>
      </c>
      <c r="J387" s="26">
        <v>259.52</v>
      </c>
      <c r="K387" s="27" t="str">
        <f>TEXT(Table1[[#This Row],[Date]],"MMMM")</f>
        <v>March</v>
      </c>
    </row>
    <row r="388" spans="1:11" x14ac:dyDescent="0.25">
      <c r="A388" s="22">
        <v>145</v>
      </c>
      <c r="B388" s="23">
        <v>45778</v>
      </c>
      <c r="C388" s="12" t="s">
        <v>28</v>
      </c>
      <c r="D388" s="12" t="s">
        <v>31</v>
      </c>
      <c r="E388" s="12" t="s">
        <v>17</v>
      </c>
      <c r="F388" s="12" t="s">
        <v>33</v>
      </c>
      <c r="G388" s="12" t="s">
        <v>22</v>
      </c>
      <c r="H388" s="24">
        <v>103.38</v>
      </c>
      <c r="I388" s="25">
        <v>7</v>
      </c>
      <c r="J388" s="26">
        <v>723.66</v>
      </c>
      <c r="K388" s="27" t="str">
        <f>TEXT(Table1[[#This Row],[Date]],"MMMM")</f>
        <v>May</v>
      </c>
    </row>
    <row r="389" spans="1:11" x14ac:dyDescent="0.25">
      <c r="A389" s="22">
        <v>12</v>
      </c>
      <c r="B389" s="23">
        <v>45819</v>
      </c>
      <c r="C389" s="12" t="s">
        <v>30</v>
      </c>
      <c r="D389" s="12" t="s">
        <v>31</v>
      </c>
      <c r="E389" s="12" t="s">
        <v>12</v>
      </c>
      <c r="F389" s="12" t="s">
        <v>33</v>
      </c>
      <c r="G389" s="12" t="s">
        <v>22</v>
      </c>
      <c r="H389" s="24">
        <v>51.13</v>
      </c>
      <c r="I389" s="25">
        <v>5</v>
      </c>
      <c r="J389" s="26">
        <v>255.65</v>
      </c>
      <c r="K389" s="27" t="str">
        <f>TEXT(Table1[[#This Row],[Date]],"MMMM")</f>
        <v>June</v>
      </c>
    </row>
    <row r="390" spans="1:11" x14ac:dyDescent="0.25">
      <c r="A390" s="22">
        <v>26</v>
      </c>
      <c r="B390" s="23">
        <v>45866</v>
      </c>
      <c r="C390" s="12" t="s">
        <v>35</v>
      </c>
      <c r="D390" s="12" t="s">
        <v>31</v>
      </c>
      <c r="E390" s="12" t="s">
        <v>21</v>
      </c>
      <c r="F390" s="12" t="s">
        <v>33</v>
      </c>
      <c r="G390" s="12" t="s">
        <v>22</v>
      </c>
      <c r="H390" s="24">
        <v>26.9</v>
      </c>
      <c r="I390" s="25">
        <v>7</v>
      </c>
      <c r="J390" s="26">
        <v>188.3</v>
      </c>
      <c r="K390" s="27" t="str">
        <f>TEXT(Table1[[#This Row],[Date]],"MMMM")</f>
        <v>July</v>
      </c>
    </row>
    <row r="391" spans="1:11" x14ac:dyDescent="0.25">
      <c r="A391" s="22">
        <v>144</v>
      </c>
      <c r="B391" s="23">
        <v>45866</v>
      </c>
      <c r="C391" s="12" t="s">
        <v>20</v>
      </c>
      <c r="D391" s="12" t="s">
        <v>31</v>
      </c>
      <c r="E391" s="12" t="s">
        <v>12</v>
      </c>
      <c r="F391" s="12" t="s">
        <v>33</v>
      </c>
      <c r="G391" s="12" t="s">
        <v>22</v>
      </c>
      <c r="H391" s="24">
        <v>112.99</v>
      </c>
      <c r="I391" s="25">
        <v>18</v>
      </c>
      <c r="J391" s="26">
        <v>2033.82</v>
      </c>
      <c r="K391" s="27" t="str">
        <f>TEXT(Table1[[#This Row],[Date]],"MMMM")</f>
        <v>July</v>
      </c>
    </row>
    <row r="392" spans="1:11" x14ac:dyDescent="0.25">
      <c r="A392" s="22">
        <v>81</v>
      </c>
      <c r="B392" s="23">
        <v>45930</v>
      </c>
      <c r="C392" s="12" t="s">
        <v>15</v>
      </c>
      <c r="D392" s="12" t="s">
        <v>31</v>
      </c>
      <c r="E392" s="12" t="s">
        <v>17</v>
      </c>
      <c r="F392" s="12" t="s">
        <v>33</v>
      </c>
      <c r="G392" s="12" t="s">
        <v>22</v>
      </c>
      <c r="H392" s="24">
        <v>54.26</v>
      </c>
      <c r="I392" s="25">
        <v>24</v>
      </c>
      <c r="J392" s="26">
        <v>1302.24</v>
      </c>
      <c r="K392" s="27" t="str">
        <f>TEXT(Table1[[#This Row],[Date]],"MMMM")</f>
        <v>September</v>
      </c>
    </row>
    <row r="393" spans="1:11" x14ac:dyDescent="0.25">
      <c r="A393" s="22">
        <v>313</v>
      </c>
      <c r="B393" s="23">
        <v>45673</v>
      </c>
      <c r="C393" s="12" t="s">
        <v>27</v>
      </c>
      <c r="D393" s="12" t="s">
        <v>11</v>
      </c>
      <c r="E393" s="12" t="s">
        <v>24</v>
      </c>
      <c r="F393" s="12" t="s">
        <v>33</v>
      </c>
      <c r="G393" s="12" t="s">
        <v>22</v>
      </c>
      <c r="H393" s="24">
        <v>77.92</v>
      </c>
      <c r="I393" s="25">
        <v>29</v>
      </c>
      <c r="J393" s="26">
        <v>2259.6799999999998</v>
      </c>
      <c r="K393" s="27" t="str">
        <f>TEXT(Table1[[#This Row],[Date]],"MMMM")</f>
        <v>January</v>
      </c>
    </row>
    <row r="394" spans="1:11" x14ac:dyDescent="0.25">
      <c r="A394" s="22">
        <v>49</v>
      </c>
      <c r="B394" s="23">
        <v>45713</v>
      </c>
      <c r="C394" s="12" t="s">
        <v>27</v>
      </c>
      <c r="D394" s="12" t="s">
        <v>11</v>
      </c>
      <c r="E394" s="12" t="s">
        <v>12</v>
      </c>
      <c r="F394" s="12" t="s">
        <v>33</v>
      </c>
      <c r="G394" s="12" t="s">
        <v>22</v>
      </c>
      <c r="H394" s="24">
        <v>48.99</v>
      </c>
      <c r="I394" s="25">
        <v>3</v>
      </c>
      <c r="J394" s="26">
        <v>146.97</v>
      </c>
      <c r="K394" s="27" t="str">
        <f>TEXT(Table1[[#This Row],[Date]],"MMMM")</f>
        <v>February</v>
      </c>
    </row>
    <row r="395" spans="1:11" x14ac:dyDescent="0.25">
      <c r="A395" s="22">
        <v>97</v>
      </c>
      <c r="B395" s="23">
        <v>45785</v>
      </c>
      <c r="C395" s="12" t="s">
        <v>35</v>
      </c>
      <c r="D395" s="12" t="s">
        <v>11</v>
      </c>
      <c r="E395" s="12" t="s">
        <v>21</v>
      </c>
      <c r="F395" s="12" t="s">
        <v>33</v>
      </c>
      <c r="G395" s="12" t="s">
        <v>22</v>
      </c>
      <c r="H395" s="24">
        <v>18.62</v>
      </c>
      <c r="I395" s="25">
        <v>49</v>
      </c>
      <c r="J395" s="26">
        <v>912.38</v>
      </c>
      <c r="K395" s="27" t="str">
        <f>TEXT(Table1[[#This Row],[Date]],"MMMM")</f>
        <v>May</v>
      </c>
    </row>
    <row r="396" spans="1:11" x14ac:dyDescent="0.25">
      <c r="A396" s="22">
        <v>325</v>
      </c>
      <c r="B396" s="23">
        <v>45821</v>
      </c>
      <c r="C396" s="12" t="s">
        <v>27</v>
      </c>
      <c r="D396" s="12" t="s">
        <v>11</v>
      </c>
      <c r="E396" s="12" t="s">
        <v>24</v>
      </c>
      <c r="F396" s="12" t="s">
        <v>33</v>
      </c>
      <c r="G396" s="12" t="s">
        <v>22</v>
      </c>
      <c r="H396" s="24">
        <v>38.520000000000003</v>
      </c>
      <c r="I396" s="25">
        <v>45</v>
      </c>
      <c r="J396" s="26">
        <v>1733.4</v>
      </c>
      <c r="K396" s="27" t="str">
        <f>TEXT(Table1[[#This Row],[Date]],"MMMM")</f>
        <v>June</v>
      </c>
    </row>
    <row r="397" spans="1:11" x14ac:dyDescent="0.25">
      <c r="A397" s="22">
        <v>10</v>
      </c>
      <c r="B397" s="23">
        <v>46007</v>
      </c>
      <c r="C397" s="12" t="s">
        <v>23</v>
      </c>
      <c r="D397" s="12" t="s">
        <v>11</v>
      </c>
      <c r="E397" s="12" t="s">
        <v>32</v>
      </c>
      <c r="F397" s="12" t="s">
        <v>33</v>
      </c>
      <c r="G397" s="12" t="s">
        <v>22</v>
      </c>
      <c r="H397" s="24">
        <v>79.52</v>
      </c>
      <c r="I397" s="25">
        <v>39</v>
      </c>
      <c r="J397" s="26">
        <v>3101.28</v>
      </c>
      <c r="K397" s="27" t="str">
        <f>TEXT(Table1[[#This Row],[Date]],"MMMM")</f>
        <v>December</v>
      </c>
    </row>
    <row r="398" spans="1:11" x14ac:dyDescent="0.25">
      <c r="A398" s="22">
        <v>345</v>
      </c>
      <c r="B398" s="23">
        <v>45662</v>
      </c>
      <c r="C398" s="12" t="s">
        <v>35</v>
      </c>
      <c r="D398" s="12" t="s">
        <v>38</v>
      </c>
      <c r="E398" s="12" t="s">
        <v>21</v>
      </c>
      <c r="F398" s="12" t="s">
        <v>33</v>
      </c>
      <c r="G398" s="12" t="s">
        <v>22</v>
      </c>
      <c r="H398" s="24">
        <v>60.73</v>
      </c>
      <c r="I398" s="25">
        <v>13</v>
      </c>
      <c r="J398" s="26">
        <v>789.49</v>
      </c>
      <c r="K398" s="27" t="str">
        <f>TEXT(Table1[[#This Row],[Date]],"MMMM")</f>
        <v>January</v>
      </c>
    </row>
    <row r="399" spans="1:11" x14ac:dyDescent="0.25">
      <c r="A399" s="22">
        <v>190</v>
      </c>
      <c r="B399" s="23">
        <v>45741</v>
      </c>
      <c r="C399" s="12" t="s">
        <v>23</v>
      </c>
      <c r="D399" s="12" t="s">
        <v>38</v>
      </c>
      <c r="E399" s="12" t="s">
        <v>17</v>
      </c>
      <c r="F399" s="12" t="s">
        <v>33</v>
      </c>
      <c r="G399" s="12" t="s">
        <v>22</v>
      </c>
      <c r="H399" s="24">
        <v>25.8</v>
      </c>
      <c r="I399" s="25">
        <v>45</v>
      </c>
      <c r="J399" s="26">
        <v>1161</v>
      </c>
      <c r="K399" s="27" t="str">
        <f>TEXT(Table1[[#This Row],[Date]],"MMMM")</f>
        <v>March</v>
      </c>
    </row>
    <row r="400" spans="1:11" x14ac:dyDescent="0.25">
      <c r="A400" s="22">
        <v>438</v>
      </c>
      <c r="B400" s="23">
        <v>45774</v>
      </c>
      <c r="C400" s="12" t="s">
        <v>35</v>
      </c>
      <c r="D400" s="12" t="s">
        <v>38</v>
      </c>
      <c r="E400" s="12" t="s">
        <v>12</v>
      </c>
      <c r="F400" s="12" t="s">
        <v>33</v>
      </c>
      <c r="G400" s="12" t="s">
        <v>22</v>
      </c>
      <c r="H400" s="24">
        <v>68.66</v>
      </c>
      <c r="I400" s="25">
        <v>25</v>
      </c>
      <c r="J400" s="26">
        <v>1716.5</v>
      </c>
      <c r="K400" s="27" t="str">
        <f>TEXT(Table1[[#This Row],[Date]],"MMMM")</f>
        <v>April</v>
      </c>
    </row>
    <row r="401" spans="1:11" x14ac:dyDescent="0.25">
      <c r="A401" s="22">
        <v>107</v>
      </c>
      <c r="B401" s="23">
        <v>45881</v>
      </c>
      <c r="C401" s="12" t="s">
        <v>15</v>
      </c>
      <c r="D401" s="12" t="s">
        <v>38</v>
      </c>
      <c r="E401" s="12" t="s">
        <v>24</v>
      </c>
      <c r="F401" s="12" t="s">
        <v>33</v>
      </c>
      <c r="G401" s="12" t="s">
        <v>22</v>
      </c>
      <c r="H401" s="24">
        <v>78</v>
      </c>
      <c r="I401" s="25">
        <v>32</v>
      </c>
      <c r="J401" s="26">
        <v>2496</v>
      </c>
      <c r="K401" s="27" t="str">
        <f>TEXT(Table1[[#This Row],[Date]],"MMMM")</f>
        <v>August</v>
      </c>
    </row>
    <row r="402" spans="1:11" x14ac:dyDescent="0.25">
      <c r="A402" s="22">
        <v>398</v>
      </c>
      <c r="B402" s="23">
        <v>45932</v>
      </c>
      <c r="C402" s="12" t="s">
        <v>30</v>
      </c>
      <c r="D402" s="12" t="s">
        <v>38</v>
      </c>
      <c r="E402" s="12" t="s">
        <v>34</v>
      </c>
      <c r="F402" s="12" t="s">
        <v>33</v>
      </c>
      <c r="G402" s="12" t="s">
        <v>22</v>
      </c>
      <c r="H402" s="24">
        <v>46.2</v>
      </c>
      <c r="I402" s="25">
        <v>50</v>
      </c>
      <c r="J402" s="26">
        <v>2310</v>
      </c>
      <c r="K402" s="27" t="str">
        <f>TEXT(Table1[[#This Row],[Date]],"MMMM")</f>
        <v>October</v>
      </c>
    </row>
    <row r="403" spans="1:11" x14ac:dyDescent="0.25">
      <c r="A403" s="22">
        <v>485</v>
      </c>
      <c r="B403" s="23">
        <v>46018</v>
      </c>
      <c r="C403" s="12" t="s">
        <v>20</v>
      </c>
      <c r="D403" s="12" t="s">
        <v>38</v>
      </c>
      <c r="E403" s="12" t="s">
        <v>12</v>
      </c>
      <c r="F403" s="12" t="s">
        <v>33</v>
      </c>
      <c r="G403" s="12" t="s">
        <v>22</v>
      </c>
      <c r="H403" s="24">
        <v>52.12</v>
      </c>
      <c r="I403" s="25">
        <v>11</v>
      </c>
      <c r="J403" s="26">
        <v>573.32000000000005</v>
      </c>
      <c r="K403" s="27" t="str">
        <f>TEXT(Table1[[#This Row],[Date]],"MMMM")</f>
        <v>December</v>
      </c>
    </row>
    <row r="404" spans="1:11" x14ac:dyDescent="0.25">
      <c r="A404" s="22">
        <v>381</v>
      </c>
      <c r="B404" s="23">
        <v>45722</v>
      </c>
      <c r="C404" s="12" t="s">
        <v>15</v>
      </c>
      <c r="D404" s="12" t="s">
        <v>40</v>
      </c>
      <c r="E404" s="12" t="s">
        <v>24</v>
      </c>
      <c r="F404" s="12" t="s">
        <v>33</v>
      </c>
      <c r="G404" s="12" t="s">
        <v>22</v>
      </c>
      <c r="H404" s="24">
        <v>91.22</v>
      </c>
      <c r="I404" s="25">
        <v>18</v>
      </c>
      <c r="J404" s="26">
        <v>1641.96</v>
      </c>
      <c r="K404" s="27" t="str">
        <f>TEXT(Table1[[#This Row],[Date]],"MMMM")</f>
        <v>March</v>
      </c>
    </row>
    <row r="405" spans="1:11" x14ac:dyDescent="0.25">
      <c r="A405" s="22">
        <v>50</v>
      </c>
      <c r="B405" s="23">
        <v>45814</v>
      </c>
      <c r="C405" s="12" t="s">
        <v>30</v>
      </c>
      <c r="D405" s="12" t="s">
        <v>40</v>
      </c>
      <c r="E405" s="12" t="s">
        <v>12</v>
      </c>
      <c r="F405" s="12" t="s">
        <v>33</v>
      </c>
      <c r="G405" s="12" t="s">
        <v>22</v>
      </c>
      <c r="H405" s="24">
        <v>99.36</v>
      </c>
      <c r="I405" s="25">
        <v>15</v>
      </c>
      <c r="J405" s="26">
        <v>1490.4</v>
      </c>
      <c r="K405" s="27" t="str">
        <f>TEXT(Table1[[#This Row],[Date]],"MMMM")</f>
        <v>June</v>
      </c>
    </row>
    <row r="406" spans="1:11" x14ac:dyDescent="0.25">
      <c r="A406" s="22">
        <v>68</v>
      </c>
      <c r="B406" s="23">
        <v>45866</v>
      </c>
      <c r="C406" s="12" t="s">
        <v>35</v>
      </c>
      <c r="D406" s="12" t="s">
        <v>40</v>
      </c>
      <c r="E406" s="12" t="s">
        <v>12</v>
      </c>
      <c r="F406" s="12" t="s">
        <v>33</v>
      </c>
      <c r="G406" s="12" t="s">
        <v>22</v>
      </c>
      <c r="H406" s="24">
        <v>43.05</v>
      </c>
      <c r="I406" s="25">
        <v>30</v>
      </c>
      <c r="J406" s="26">
        <v>1291.5</v>
      </c>
      <c r="K406" s="27" t="str">
        <f>TEXT(Table1[[#This Row],[Date]],"MMMM")</f>
        <v>July</v>
      </c>
    </row>
    <row r="407" spans="1:11" x14ac:dyDescent="0.25">
      <c r="A407" s="22">
        <v>172</v>
      </c>
      <c r="B407" s="23">
        <v>45667</v>
      </c>
      <c r="C407" s="12" t="s">
        <v>28</v>
      </c>
      <c r="D407" s="12" t="s">
        <v>16</v>
      </c>
      <c r="E407" s="12" t="s">
        <v>21</v>
      </c>
      <c r="F407" s="12" t="s">
        <v>33</v>
      </c>
      <c r="G407" s="12" t="s">
        <v>22</v>
      </c>
      <c r="H407" s="24">
        <v>57.87</v>
      </c>
      <c r="I407" s="25">
        <v>5</v>
      </c>
      <c r="J407" s="26">
        <v>289.35000000000002</v>
      </c>
      <c r="K407" s="27" t="str">
        <f>TEXT(Table1[[#This Row],[Date]],"MMMM")</f>
        <v>January</v>
      </c>
    </row>
    <row r="408" spans="1:11" x14ac:dyDescent="0.25">
      <c r="A408" s="22">
        <v>166</v>
      </c>
      <c r="B408" s="23">
        <v>45683</v>
      </c>
      <c r="C408" s="12" t="s">
        <v>27</v>
      </c>
      <c r="D408" s="12" t="s">
        <v>16</v>
      </c>
      <c r="E408" s="12" t="s">
        <v>39</v>
      </c>
      <c r="F408" s="12" t="s">
        <v>33</v>
      </c>
      <c r="G408" s="12" t="s">
        <v>22</v>
      </c>
      <c r="H408" s="24">
        <v>82.51</v>
      </c>
      <c r="I408" s="25">
        <v>18</v>
      </c>
      <c r="J408" s="26">
        <v>1485.18</v>
      </c>
      <c r="K408" s="27" t="str">
        <f>TEXT(Table1[[#This Row],[Date]],"MMMM")</f>
        <v>January</v>
      </c>
    </row>
    <row r="409" spans="1:11" x14ac:dyDescent="0.25">
      <c r="A409" s="22">
        <v>369</v>
      </c>
      <c r="B409" s="23">
        <v>45702</v>
      </c>
      <c r="C409" s="12" t="s">
        <v>15</v>
      </c>
      <c r="D409" s="12" t="s">
        <v>16</v>
      </c>
      <c r="E409" s="12" t="s">
        <v>24</v>
      </c>
      <c r="F409" s="12" t="s">
        <v>33</v>
      </c>
      <c r="G409" s="12" t="s">
        <v>22</v>
      </c>
      <c r="H409" s="24">
        <v>108.11</v>
      </c>
      <c r="I409" s="25">
        <v>9</v>
      </c>
      <c r="J409" s="26">
        <v>972.99</v>
      </c>
      <c r="K409" s="27" t="str">
        <f>TEXT(Table1[[#This Row],[Date]],"MMMM")</f>
        <v>February</v>
      </c>
    </row>
    <row r="410" spans="1:11" x14ac:dyDescent="0.25">
      <c r="A410" s="22">
        <v>426</v>
      </c>
      <c r="B410" s="23">
        <v>45855</v>
      </c>
      <c r="C410" s="12" t="s">
        <v>23</v>
      </c>
      <c r="D410" s="12" t="s">
        <v>16</v>
      </c>
      <c r="E410" s="12" t="s">
        <v>39</v>
      </c>
      <c r="F410" s="12" t="s">
        <v>33</v>
      </c>
      <c r="G410" s="12" t="s">
        <v>22</v>
      </c>
      <c r="H410" s="24">
        <v>55.4</v>
      </c>
      <c r="I410" s="25">
        <v>27</v>
      </c>
      <c r="J410" s="26">
        <v>1495.8</v>
      </c>
      <c r="K410" s="27" t="str">
        <f>TEXT(Table1[[#This Row],[Date]],"MMMM")</f>
        <v>July</v>
      </c>
    </row>
    <row r="411" spans="1:11" x14ac:dyDescent="0.25">
      <c r="A411" s="22">
        <v>130</v>
      </c>
      <c r="B411" s="23">
        <v>45884</v>
      </c>
      <c r="C411" s="12" t="s">
        <v>10</v>
      </c>
      <c r="D411" s="12" t="s">
        <v>16</v>
      </c>
      <c r="E411" s="12" t="s">
        <v>34</v>
      </c>
      <c r="F411" s="12" t="s">
        <v>33</v>
      </c>
      <c r="G411" s="12" t="s">
        <v>22</v>
      </c>
      <c r="H411" s="24">
        <v>113.7</v>
      </c>
      <c r="I411" s="25">
        <v>38</v>
      </c>
      <c r="J411" s="26">
        <v>4320.6000000000004</v>
      </c>
      <c r="K411" s="27" t="str">
        <f>TEXT(Table1[[#This Row],[Date]],"MMMM")</f>
        <v>August</v>
      </c>
    </row>
    <row r="412" spans="1:11" x14ac:dyDescent="0.25">
      <c r="A412" s="22">
        <v>496</v>
      </c>
      <c r="B412" s="23">
        <v>45925</v>
      </c>
      <c r="C412" s="12" t="s">
        <v>15</v>
      </c>
      <c r="D412" s="12" t="s">
        <v>16</v>
      </c>
      <c r="E412" s="12" t="s">
        <v>12</v>
      </c>
      <c r="F412" s="12" t="s">
        <v>33</v>
      </c>
      <c r="G412" s="12" t="s">
        <v>22</v>
      </c>
      <c r="H412" s="24">
        <v>84.15</v>
      </c>
      <c r="I412" s="25">
        <v>40</v>
      </c>
      <c r="J412" s="26">
        <v>3366</v>
      </c>
      <c r="K412" s="27" t="str">
        <f>TEXT(Table1[[#This Row],[Date]],"MMMM")</f>
        <v>September</v>
      </c>
    </row>
    <row r="413" spans="1:11" x14ac:dyDescent="0.25">
      <c r="A413" s="22">
        <v>434</v>
      </c>
      <c r="B413" s="23">
        <v>45745</v>
      </c>
      <c r="C413" s="12" t="s">
        <v>27</v>
      </c>
      <c r="D413" s="12" t="s">
        <v>26</v>
      </c>
      <c r="E413" s="12" t="s">
        <v>34</v>
      </c>
      <c r="F413" s="12" t="s">
        <v>33</v>
      </c>
      <c r="G413" s="12" t="s">
        <v>22</v>
      </c>
      <c r="H413" s="24">
        <v>78.39</v>
      </c>
      <c r="I413" s="25">
        <v>6</v>
      </c>
      <c r="J413" s="26">
        <v>470.34</v>
      </c>
      <c r="K413" s="27" t="str">
        <f>TEXT(Table1[[#This Row],[Date]],"MMMM")</f>
        <v>March</v>
      </c>
    </row>
    <row r="414" spans="1:11" x14ac:dyDescent="0.25">
      <c r="A414" s="22">
        <v>306</v>
      </c>
      <c r="B414" s="23">
        <v>45773</v>
      </c>
      <c r="C414" s="12" t="s">
        <v>20</v>
      </c>
      <c r="D414" s="12" t="s">
        <v>26</v>
      </c>
      <c r="E414" s="12" t="s">
        <v>21</v>
      </c>
      <c r="F414" s="12" t="s">
        <v>33</v>
      </c>
      <c r="G414" s="12" t="s">
        <v>22</v>
      </c>
      <c r="H414" s="24">
        <v>39.5</v>
      </c>
      <c r="I414" s="25">
        <v>6</v>
      </c>
      <c r="J414" s="26">
        <v>237</v>
      </c>
      <c r="K414" s="27" t="str">
        <f>TEXT(Table1[[#This Row],[Date]],"MMMM")</f>
        <v>April</v>
      </c>
    </row>
    <row r="415" spans="1:11" x14ac:dyDescent="0.25">
      <c r="A415" s="22">
        <v>320</v>
      </c>
      <c r="B415" s="23">
        <v>45795</v>
      </c>
      <c r="C415" s="12" t="s">
        <v>23</v>
      </c>
      <c r="D415" s="12" t="s">
        <v>26</v>
      </c>
      <c r="E415" s="12" t="s">
        <v>32</v>
      </c>
      <c r="F415" s="12" t="s">
        <v>33</v>
      </c>
      <c r="G415" s="12" t="s">
        <v>22</v>
      </c>
      <c r="H415" s="24">
        <v>39.630000000000003</v>
      </c>
      <c r="I415" s="25">
        <v>32</v>
      </c>
      <c r="J415" s="26">
        <v>1268.1600000000001</v>
      </c>
      <c r="K415" s="27" t="str">
        <f>TEXT(Table1[[#This Row],[Date]],"MMMM")</f>
        <v>May</v>
      </c>
    </row>
    <row r="416" spans="1:11" x14ac:dyDescent="0.25">
      <c r="A416" s="22">
        <v>312</v>
      </c>
      <c r="B416" s="23">
        <v>45835</v>
      </c>
      <c r="C416" s="12" t="s">
        <v>30</v>
      </c>
      <c r="D416" s="12" t="s">
        <v>26</v>
      </c>
      <c r="E416" s="12" t="s">
        <v>24</v>
      </c>
      <c r="F416" s="12" t="s">
        <v>33</v>
      </c>
      <c r="G416" s="12" t="s">
        <v>22</v>
      </c>
      <c r="H416" s="24">
        <v>11.18</v>
      </c>
      <c r="I416" s="25">
        <v>28</v>
      </c>
      <c r="J416" s="26">
        <v>313.04000000000002</v>
      </c>
      <c r="K416" s="27" t="str">
        <f>TEXT(Table1[[#This Row],[Date]],"MMMM")</f>
        <v>June</v>
      </c>
    </row>
    <row r="417" spans="1:11" x14ac:dyDescent="0.25">
      <c r="A417" s="22">
        <v>116</v>
      </c>
      <c r="B417" s="23">
        <v>45940</v>
      </c>
      <c r="C417" s="12" t="s">
        <v>23</v>
      </c>
      <c r="D417" s="12" t="s">
        <v>26</v>
      </c>
      <c r="E417" s="12" t="s">
        <v>34</v>
      </c>
      <c r="F417" s="12" t="s">
        <v>33</v>
      </c>
      <c r="G417" s="12" t="s">
        <v>22</v>
      </c>
      <c r="H417" s="24">
        <v>21.63</v>
      </c>
      <c r="I417" s="25">
        <v>13</v>
      </c>
      <c r="J417" s="26">
        <v>281.19</v>
      </c>
      <c r="K417" s="27" t="str">
        <f>TEXT(Table1[[#This Row],[Date]],"MMMM")</f>
        <v>October</v>
      </c>
    </row>
    <row r="418" spans="1:11" x14ac:dyDescent="0.25">
      <c r="A418" s="22">
        <v>360</v>
      </c>
      <c r="B418" s="23">
        <v>45978</v>
      </c>
      <c r="C418" s="12" t="s">
        <v>20</v>
      </c>
      <c r="D418" s="12" t="s">
        <v>26</v>
      </c>
      <c r="E418" s="12" t="s">
        <v>32</v>
      </c>
      <c r="F418" s="12" t="s">
        <v>33</v>
      </c>
      <c r="G418" s="12" t="s">
        <v>22</v>
      </c>
      <c r="H418" s="24">
        <v>95.15</v>
      </c>
      <c r="I418" s="25">
        <v>30</v>
      </c>
      <c r="J418" s="26">
        <v>2854.5</v>
      </c>
      <c r="K418" s="27" t="str">
        <f>TEXT(Table1[[#This Row],[Date]],"MMMM")</f>
        <v>November</v>
      </c>
    </row>
    <row r="419" spans="1:11" x14ac:dyDescent="0.25">
      <c r="A419" s="22">
        <v>402</v>
      </c>
      <c r="B419" s="23">
        <v>45720</v>
      </c>
      <c r="C419" s="12" t="s">
        <v>30</v>
      </c>
      <c r="D419" s="12" t="s">
        <v>37</v>
      </c>
      <c r="E419" s="12" t="s">
        <v>12</v>
      </c>
      <c r="F419" s="12" t="s">
        <v>33</v>
      </c>
      <c r="G419" s="12" t="s">
        <v>22</v>
      </c>
      <c r="H419" s="24">
        <v>6.38</v>
      </c>
      <c r="I419" s="25">
        <v>50</v>
      </c>
      <c r="J419" s="26">
        <v>319</v>
      </c>
      <c r="K419" s="27" t="str">
        <f>TEXT(Table1[[#This Row],[Date]],"MMMM")</f>
        <v>March</v>
      </c>
    </row>
    <row r="420" spans="1:11" x14ac:dyDescent="0.25">
      <c r="A420" s="22">
        <v>210</v>
      </c>
      <c r="B420" s="23">
        <v>45862</v>
      </c>
      <c r="C420" s="12" t="s">
        <v>28</v>
      </c>
      <c r="D420" s="12" t="s">
        <v>37</v>
      </c>
      <c r="E420" s="12" t="s">
        <v>39</v>
      </c>
      <c r="F420" s="12" t="s">
        <v>33</v>
      </c>
      <c r="G420" s="12" t="s">
        <v>22</v>
      </c>
      <c r="H420" s="24">
        <v>90.48</v>
      </c>
      <c r="I420" s="25">
        <v>25</v>
      </c>
      <c r="J420" s="26">
        <v>2262</v>
      </c>
      <c r="K420" s="27" t="str">
        <f>TEXT(Table1[[#This Row],[Date]],"MMMM")</f>
        <v>July</v>
      </c>
    </row>
    <row r="421" spans="1:11" x14ac:dyDescent="0.25">
      <c r="A421" s="22">
        <v>337</v>
      </c>
      <c r="B421" s="23">
        <v>45876</v>
      </c>
      <c r="C421" s="12" t="s">
        <v>35</v>
      </c>
      <c r="D421" s="12" t="s">
        <v>37</v>
      </c>
      <c r="E421" s="12" t="s">
        <v>32</v>
      </c>
      <c r="F421" s="12" t="s">
        <v>33</v>
      </c>
      <c r="G421" s="12" t="s">
        <v>22</v>
      </c>
      <c r="H421" s="24">
        <v>115.22</v>
      </c>
      <c r="I421" s="25">
        <v>15</v>
      </c>
      <c r="J421" s="26">
        <v>1728.3</v>
      </c>
      <c r="K421" s="27" t="str">
        <f>TEXT(Table1[[#This Row],[Date]],"MMMM")</f>
        <v>August</v>
      </c>
    </row>
    <row r="422" spans="1:11" x14ac:dyDescent="0.25">
      <c r="A422" s="22">
        <v>243</v>
      </c>
      <c r="B422" s="23">
        <v>45888</v>
      </c>
      <c r="C422" s="12" t="s">
        <v>15</v>
      </c>
      <c r="D422" s="12" t="s">
        <v>37</v>
      </c>
      <c r="E422" s="12" t="s">
        <v>29</v>
      </c>
      <c r="F422" s="12" t="s">
        <v>33</v>
      </c>
      <c r="G422" s="12" t="s">
        <v>22</v>
      </c>
      <c r="H422" s="24">
        <v>92.91</v>
      </c>
      <c r="I422" s="25">
        <v>18</v>
      </c>
      <c r="J422" s="26">
        <v>1672.38</v>
      </c>
      <c r="K422" s="27" t="str">
        <f>TEXT(Table1[[#This Row],[Date]],"MMMM")</f>
        <v>August</v>
      </c>
    </row>
    <row r="423" spans="1:11" x14ac:dyDescent="0.25">
      <c r="A423" s="22">
        <v>307</v>
      </c>
      <c r="B423" s="23">
        <v>45940</v>
      </c>
      <c r="C423" s="12" t="s">
        <v>20</v>
      </c>
      <c r="D423" s="12" t="s">
        <v>37</v>
      </c>
      <c r="E423" s="12" t="s">
        <v>29</v>
      </c>
      <c r="F423" s="12" t="s">
        <v>33</v>
      </c>
      <c r="G423" s="12" t="s">
        <v>22</v>
      </c>
      <c r="H423" s="24">
        <v>59.74</v>
      </c>
      <c r="I423" s="25">
        <v>41</v>
      </c>
      <c r="J423" s="26">
        <v>2449.34</v>
      </c>
      <c r="K423" s="27" t="str">
        <f>TEXT(Table1[[#This Row],[Date]],"MMMM")</f>
        <v>October</v>
      </c>
    </row>
    <row r="424" spans="1:11" x14ac:dyDescent="0.25">
      <c r="A424" s="22">
        <v>465</v>
      </c>
      <c r="B424" s="23">
        <v>45811</v>
      </c>
      <c r="C424" s="12" t="s">
        <v>23</v>
      </c>
      <c r="D424" s="12" t="s">
        <v>36</v>
      </c>
      <c r="E424" s="12" t="s">
        <v>29</v>
      </c>
      <c r="F424" s="12" t="s">
        <v>33</v>
      </c>
      <c r="G424" s="12" t="s">
        <v>19</v>
      </c>
      <c r="H424" s="24">
        <v>102.22</v>
      </c>
      <c r="I424" s="25">
        <v>43</v>
      </c>
      <c r="J424" s="26">
        <v>4395.46</v>
      </c>
      <c r="K424" s="27" t="str">
        <f>TEXT(Table1[[#This Row],[Date]],"MMMM")</f>
        <v>June</v>
      </c>
    </row>
    <row r="425" spans="1:11" x14ac:dyDescent="0.25">
      <c r="A425" s="22">
        <v>303</v>
      </c>
      <c r="B425" s="23">
        <v>45940</v>
      </c>
      <c r="C425" s="12" t="s">
        <v>10</v>
      </c>
      <c r="D425" s="12" t="s">
        <v>36</v>
      </c>
      <c r="E425" s="12" t="s">
        <v>17</v>
      </c>
      <c r="F425" s="12" t="s">
        <v>33</v>
      </c>
      <c r="G425" s="12" t="s">
        <v>19</v>
      </c>
      <c r="H425" s="24">
        <v>52.3</v>
      </c>
      <c r="I425" s="25">
        <v>2</v>
      </c>
      <c r="J425" s="26">
        <v>104.6</v>
      </c>
      <c r="K425" s="27" t="str">
        <f>TEXT(Table1[[#This Row],[Date]],"MMMM")</f>
        <v>October</v>
      </c>
    </row>
    <row r="426" spans="1:11" x14ac:dyDescent="0.25">
      <c r="A426" s="22">
        <v>113</v>
      </c>
      <c r="B426" s="23">
        <v>45969</v>
      </c>
      <c r="C426" s="12" t="s">
        <v>23</v>
      </c>
      <c r="D426" s="12" t="s">
        <v>36</v>
      </c>
      <c r="E426" s="12" t="s">
        <v>17</v>
      </c>
      <c r="F426" s="12" t="s">
        <v>33</v>
      </c>
      <c r="G426" s="12" t="s">
        <v>19</v>
      </c>
      <c r="H426" s="24">
        <v>96.92</v>
      </c>
      <c r="I426" s="25">
        <v>46</v>
      </c>
      <c r="J426" s="26">
        <v>4458.32</v>
      </c>
      <c r="K426" s="27" t="str">
        <f>TEXT(Table1[[#This Row],[Date]],"MMMM")</f>
        <v>November</v>
      </c>
    </row>
    <row r="427" spans="1:11" x14ac:dyDescent="0.25">
      <c r="A427" s="22">
        <v>126</v>
      </c>
      <c r="B427" s="23">
        <v>45681</v>
      </c>
      <c r="C427" s="12" t="s">
        <v>10</v>
      </c>
      <c r="D427" s="12" t="s">
        <v>31</v>
      </c>
      <c r="E427" s="12" t="s">
        <v>24</v>
      </c>
      <c r="F427" s="12" t="s">
        <v>33</v>
      </c>
      <c r="G427" s="12" t="s">
        <v>19</v>
      </c>
      <c r="H427" s="24">
        <v>42.3</v>
      </c>
      <c r="I427" s="25">
        <v>4</v>
      </c>
      <c r="J427" s="26">
        <v>169.2</v>
      </c>
      <c r="K427" s="27" t="str">
        <f>TEXT(Table1[[#This Row],[Date]],"MMMM")</f>
        <v>January</v>
      </c>
    </row>
    <row r="428" spans="1:11" x14ac:dyDescent="0.25">
      <c r="A428" s="22">
        <v>373</v>
      </c>
      <c r="B428" s="23">
        <v>45725</v>
      </c>
      <c r="C428" s="12" t="s">
        <v>35</v>
      </c>
      <c r="D428" s="12" t="s">
        <v>31</v>
      </c>
      <c r="E428" s="12" t="s">
        <v>32</v>
      </c>
      <c r="F428" s="12" t="s">
        <v>33</v>
      </c>
      <c r="G428" s="12" t="s">
        <v>19</v>
      </c>
      <c r="H428" s="24">
        <v>49.49</v>
      </c>
      <c r="I428" s="25">
        <v>37</v>
      </c>
      <c r="J428" s="26">
        <v>1831.13</v>
      </c>
      <c r="K428" s="27" t="str">
        <f>TEXT(Table1[[#This Row],[Date]],"MMMM")</f>
        <v>March</v>
      </c>
    </row>
    <row r="429" spans="1:11" x14ac:dyDescent="0.25">
      <c r="A429" s="22">
        <v>189</v>
      </c>
      <c r="B429" s="23">
        <v>45737</v>
      </c>
      <c r="C429" s="12" t="s">
        <v>20</v>
      </c>
      <c r="D429" s="12" t="s">
        <v>31</v>
      </c>
      <c r="E429" s="12" t="s">
        <v>32</v>
      </c>
      <c r="F429" s="12" t="s">
        <v>33</v>
      </c>
      <c r="G429" s="12" t="s">
        <v>19</v>
      </c>
      <c r="H429" s="24">
        <v>13.87</v>
      </c>
      <c r="I429" s="25">
        <v>7</v>
      </c>
      <c r="J429" s="26">
        <v>97.09</v>
      </c>
      <c r="K429" s="27" t="str">
        <f>TEXT(Table1[[#This Row],[Date]],"MMMM")</f>
        <v>March</v>
      </c>
    </row>
    <row r="430" spans="1:11" x14ac:dyDescent="0.25">
      <c r="A430" s="22">
        <v>332</v>
      </c>
      <c r="B430" s="23">
        <v>45895</v>
      </c>
      <c r="C430" s="12" t="s">
        <v>23</v>
      </c>
      <c r="D430" s="12" t="s">
        <v>31</v>
      </c>
      <c r="E430" s="12" t="s">
        <v>17</v>
      </c>
      <c r="F430" s="12" t="s">
        <v>33</v>
      </c>
      <c r="G430" s="12" t="s">
        <v>19</v>
      </c>
      <c r="H430" s="24">
        <v>93.82</v>
      </c>
      <c r="I430" s="25">
        <v>38</v>
      </c>
      <c r="J430" s="26">
        <v>3565.16</v>
      </c>
      <c r="K430" s="27" t="str">
        <f>TEXT(Table1[[#This Row],[Date]],"MMMM")</f>
        <v>August</v>
      </c>
    </row>
    <row r="431" spans="1:11" x14ac:dyDescent="0.25">
      <c r="A431" s="22">
        <v>388</v>
      </c>
      <c r="B431" s="23">
        <v>45896</v>
      </c>
      <c r="C431" s="12" t="s">
        <v>10</v>
      </c>
      <c r="D431" s="12" t="s">
        <v>31</v>
      </c>
      <c r="E431" s="12" t="s">
        <v>29</v>
      </c>
      <c r="F431" s="12" t="s">
        <v>33</v>
      </c>
      <c r="G431" s="12" t="s">
        <v>19</v>
      </c>
      <c r="H431" s="24">
        <v>104.59</v>
      </c>
      <c r="I431" s="25">
        <v>50</v>
      </c>
      <c r="J431" s="26">
        <v>5229.5</v>
      </c>
      <c r="K431" s="27" t="str">
        <f>TEXT(Table1[[#This Row],[Date]],"MMMM")</f>
        <v>August</v>
      </c>
    </row>
    <row r="432" spans="1:11" x14ac:dyDescent="0.25">
      <c r="A432" s="22">
        <v>287</v>
      </c>
      <c r="B432" s="23">
        <v>45911</v>
      </c>
      <c r="C432" s="12" t="s">
        <v>35</v>
      </c>
      <c r="D432" s="12" t="s">
        <v>31</v>
      </c>
      <c r="E432" s="12" t="s">
        <v>21</v>
      </c>
      <c r="F432" s="12" t="s">
        <v>33</v>
      </c>
      <c r="G432" s="12" t="s">
        <v>19</v>
      </c>
      <c r="H432" s="24">
        <v>10.39</v>
      </c>
      <c r="I432" s="25">
        <v>23</v>
      </c>
      <c r="J432" s="26">
        <v>238.97</v>
      </c>
      <c r="K432" s="27" t="str">
        <f>TEXT(Table1[[#This Row],[Date]],"MMMM")</f>
        <v>September</v>
      </c>
    </row>
    <row r="433" spans="1:11" x14ac:dyDescent="0.25">
      <c r="A433" s="22">
        <v>178</v>
      </c>
      <c r="B433" s="23">
        <v>45954</v>
      </c>
      <c r="C433" s="12" t="s">
        <v>28</v>
      </c>
      <c r="D433" s="12" t="s">
        <v>31</v>
      </c>
      <c r="E433" s="12" t="s">
        <v>32</v>
      </c>
      <c r="F433" s="12" t="s">
        <v>33</v>
      </c>
      <c r="G433" s="12" t="s">
        <v>19</v>
      </c>
      <c r="H433" s="24">
        <v>56.62</v>
      </c>
      <c r="I433" s="25">
        <v>37</v>
      </c>
      <c r="J433" s="26">
        <v>2094.94</v>
      </c>
      <c r="K433" s="27" t="str">
        <f>TEXT(Table1[[#This Row],[Date]],"MMMM")</f>
        <v>October</v>
      </c>
    </row>
    <row r="434" spans="1:11" x14ac:dyDescent="0.25">
      <c r="A434" s="22">
        <v>22</v>
      </c>
      <c r="B434" s="23">
        <v>46011</v>
      </c>
      <c r="C434" s="12" t="s">
        <v>35</v>
      </c>
      <c r="D434" s="12" t="s">
        <v>31</v>
      </c>
      <c r="E434" s="12" t="s">
        <v>39</v>
      </c>
      <c r="F434" s="12" t="s">
        <v>33</v>
      </c>
      <c r="G434" s="12" t="s">
        <v>19</v>
      </c>
      <c r="H434" s="24">
        <v>28.13</v>
      </c>
      <c r="I434" s="25">
        <v>20</v>
      </c>
      <c r="J434" s="26">
        <v>562.6</v>
      </c>
      <c r="K434" s="27" t="str">
        <f>TEXT(Table1[[#This Row],[Date]],"MMMM")</f>
        <v>December</v>
      </c>
    </row>
    <row r="435" spans="1:11" x14ac:dyDescent="0.25">
      <c r="A435" s="22">
        <v>219</v>
      </c>
      <c r="B435" s="23">
        <v>45718</v>
      </c>
      <c r="C435" s="12" t="s">
        <v>27</v>
      </c>
      <c r="D435" s="12" t="s">
        <v>11</v>
      </c>
      <c r="E435" s="12" t="s">
        <v>34</v>
      </c>
      <c r="F435" s="12" t="s">
        <v>33</v>
      </c>
      <c r="G435" s="12" t="s">
        <v>19</v>
      </c>
      <c r="H435" s="24">
        <v>35.1</v>
      </c>
      <c r="I435" s="25">
        <v>17</v>
      </c>
      <c r="J435" s="26">
        <v>596.70000000000005</v>
      </c>
      <c r="K435" s="27" t="str">
        <f>TEXT(Table1[[#This Row],[Date]],"MMMM")</f>
        <v>March</v>
      </c>
    </row>
    <row r="436" spans="1:11" x14ac:dyDescent="0.25">
      <c r="A436" s="22">
        <v>293</v>
      </c>
      <c r="B436" s="23">
        <v>45718</v>
      </c>
      <c r="C436" s="12" t="s">
        <v>27</v>
      </c>
      <c r="D436" s="12" t="s">
        <v>11</v>
      </c>
      <c r="E436" s="12" t="s">
        <v>12</v>
      </c>
      <c r="F436" s="12" t="s">
        <v>33</v>
      </c>
      <c r="G436" s="12" t="s">
        <v>19</v>
      </c>
      <c r="H436" s="24">
        <v>90.89</v>
      </c>
      <c r="I436" s="25">
        <v>49</v>
      </c>
      <c r="J436" s="26">
        <v>4453.6099999999997</v>
      </c>
      <c r="K436" s="27" t="str">
        <f>TEXT(Table1[[#This Row],[Date]],"MMMM")</f>
        <v>March</v>
      </c>
    </row>
    <row r="437" spans="1:11" x14ac:dyDescent="0.25">
      <c r="A437" s="22">
        <v>378</v>
      </c>
      <c r="B437" s="23">
        <v>45881</v>
      </c>
      <c r="C437" s="12" t="s">
        <v>20</v>
      </c>
      <c r="D437" s="12" t="s">
        <v>11</v>
      </c>
      <c r="E437" s="12" t="s">
        <v>29</v>
      </c>
      <c r="F437" s="12" t="s">
        <v>33</v>
      </c>
      <c r="G437" s="12" t="s">
        <v>19</v>
      </c>
      <c r="H437" s="24">
        <v>88.95</v>
      </c>
      <c r="I437" s="25">
        <v>16</v>
      </c>
      <c r="J437" s="26">
        <v>1423.2</v>
      </c>
      <c r="K437" s="27" t="str">
        <f>TEXT(Table1[[#This Row],[Date]],"MMMM")</f>
        <v>August</v>
      </c>
    </row>
    <row r="438" spans="1:11" x14ac:dyDescent="0.25">
      <c r="A438" s="22">
        <v>387</v>
      </c>
      <c r="B438" s="23">
        <v>45915</v>
      </c>
      <c r="C438" s="12" t="s">
        <v>23</v>
      </c>
      <c r="D438" s="12" t="s">
        <v>11</v>
      </c>
      <c r="E438" s="12" t="s">
        <v>17</v>
      </c>
      <c r="F438" s="12" t="s">
        <v>33</v>
      </c>
      <c r="G438" s="12" t="s">
        <v>19</v>
      </c>
      <c r="H438" s="24">
        <v>82.43</v>
      </c>
      <c r="I438" s="25">
        <v>4</v>
      </c>
      <c r="J438" s="26">
        <v>329.72</v>
      </c>
      <c r="K438" s="27" t="str">
        <f>TEXT(Table1[[#This Row],[Date]],"MMMM")</f>
        <v>September</v>
      </c>
    </row>
    <row r="439" spans="1:11" x14ac:dyDescent="0.25">
      <c r="A439" s="22">
        <v>155</v>
      </c>
      <c r="B439" s="23">
        <v>45916</v>
      </c>
      <c r="C439" s="12" t="s">
        <v>15</v>
      </c>
      <c r="D439" s="12" t="s">
        <v>11</v>
      </c>
      <c r="E439" s="12" t="s">
        <v>21</v>
      </c>
      <c r="F439" s="12" t="s">
        <v>33</v>
      </c>
      <c r="G439" s="12" t="s">
        <v>19</v>
      </c>
      <c r="H439" s="24">
        <v>74.62</v>
      </c>
      <c r="I439" s="25">
        <v>7</v>
      </c>
      <c r="J439" s="26">
        <v>522.34</v>
      </c>
      <c r="K439" s="27" t="str">
        <f>TEXT(Table1[[#This Row],[Date]],"MMMM")</f>
        <v>September</v>
      </c>
    </row>
    <row r="440" spans="1:11" x14ac:dyDescent="0.25">
      <c r="A440" s="22">
        <v>397</v>
      </c>
      <c r="B440" s="23">
        <v>45713</v>
      </c>
      <c r="C440" s="12" t="s">
        <v>27</v>
      </c>
      <c r="D440" s="12" t="s">
        <v>38</v>
      </c>
      <c r="E440" s="12" t="s">
        <v>24</v>
      </c>
      <c r="F440" s="12" t="s">
        <v>33</v>
      </c>
      <c r="G440" s="12" t="s">
        <v>19</v>
      </c>
      <c r="H440" s="24">
        <v>22.87</v>
      </c>
      <c r="I440" s="25">
        <v>11</v>
      </c>
      <c r="J440" s="26">
        <v>251.57</v>
      </c>
      <c r="K440" s="27" t="str">
        <f>TEXT(Table1[[#This Row],[Date]],"MMMM")</f>
        <v>February</v>
      </c>
    </row>
    <row r="441" spans="1:11" x14ac:dyDescent="0.25">
      <c r="A441" s="22">
        <v>64</v>
      </c>
      <c r="B441" s="23">
        <v>45726</v>
      </c>
      <c r="C441" s="12" t="s">
        <v>28</v>
      </c>
      <c r="D441" s="12" t="s">
        <v>38</v>
      </c>
      <c r="E441" s="12" t="s">
        <v>21</v>
      </c>
      <c r="F441" s="12" t="s">
        <v>33</v>
      </c>
      <c r="G441" s="12" t="s">
        <v>19</v>
      </c>
      <c r="H441" s="24">
        <v>97.16</v>
      </c>
      <c r="I441" s="25">
        <v>43</v>
      </c>
      <c r="J441" s="26">
        <v>4177.88</v>
      </c>
      <c r="K441" s="27" t="str">
        <f>TEXT(Table1[[#This Row],[Date]],"MMMM")</f>
        <v>March</v>
      </c>
    </row>
    <row r="442" spans="1:11" x14ac:dyDescent="0.25">
      <c r="A442" s="22">
        <v>468</v>
      </c>
      <c r="B442" s="23">
        <v>45808</v>
      </c>
      <c r="C442" s="12" t="s">
        <v>27</v>
      </c>
      <c r="D442" s="12" t="s">
        <v>40</v>
      </c>
      <c r="E442" s="12" t="s">
        <v>29</v>
      </c>
      <c r="F442" s="12" t="s">
        <v>33</v>
      </c>
      <c r="G442" s="12" t="s">
        <v>19</v>
      </c>
      <c r="H442" s="24">
        <v>58.33</v>
      </c>
      <c r="I442" s="25">
        <v>8</v>
      </c>
      <c r="J442" s="26">
        <v>466.64</v>
      </c>
      <c r="K442" s="27" t="str">
        <f>TEXT(Table1[[#This Row],[Date]],"MMMM")</f>
        <v>May</v>
      </c>
    </row>
    <row r="443" spans="1:11" x14ac:dyDescent="0.25">
      <c r="A443" s="22">
        <v>110</v>
      </c>
      <c r="B443" s="23">
        <v>45823</v>
      </c>
      <c r="C443" s="12" t="s">
        <v>35</v>
      </c>
      <c r="D443" s="12" t="s">
        <v>40</v>
      </c>
      <c r="E443" s="12" t="s">
        <v>39</v>
      </c>
      <c r="F443" s="12" t="s">
        <v>33</v>
      </c>
      <c r="G443" s="12" t="s">
        <v>19</v>
      </c>
      <c r="H443" s="24">
        <v>18.329999999999998</v>
      </c>
      <c r="I443" s="25">
        <v>50</v>
      </c>
      <c r="J443" s="26">
        <v>916.5</v>
      </c>
      <c r="K443" s="27" t="str">
        <f>TEXT(Table1[[#This Row],[Date]],"MMMM")</f>
        <v>June</v>
      </c>
    </row>
    <row r="444" spans="1:11" x14ac:dyDescent="0.25">
      <c r="A444" s="22">
        <v>233</v>
      </c>
      <c r="B444" s="23">
        <v>45695</v>
      </c>
      <c r="C444" s="12" t="s">
        <v>27</v>
      </c>
      <c r="D444" s="12" t="s">
        <v>16</v>
      </c>
      <c r="E444" s="12" t="s">
        <v>39</v>
      </c>
      <c r="F444" s="12" t="s">
        <v>33</v>
      </c>
      <c r="G444" s="12" t="s">
        <v>19</v>
      </c>
      <c r="H444" s="24">
        <v>84.19</v>
      </c>
      <c r="I444" s="25">
        <v>11</v>
      </c>
      <c r="J444" s="26">
        <v>926.09</v>
      </c>
      <c r="K444" s="27" t="str">
        <f>TEXT(Table1[[#This Row],[Date]],"MMMM")</f>
        <v>February</v>
      </c>
    </row>
    <row r="445" spans="1:11" x14ac:dyDescent="0.25">
      <c r="A445" s="22">
        <v>289</v>
      </c>
      <c r="B445" s="23">
        <v>45731</v>
      </c>
      <c r="C445" s="12" t="s">
        <v>35</v>
      </c>
      <c r="D445" s="12" t="s">
        <v>16</v>
      </c>
      <c r="E445" s="12" t="s">
        <v>32</v>
      </c>
      <c r="F445" s="12" t="s">
        <v>33</v>
      </c>
      <c r="G445" s="12" t="s">
        <v>19</v>
      </c>
      <c r="H445" s="24">
        <v>97.66</v>
      </c>
      <c r="I445" s="25">
        <v>4</v>
      </c>
      <c r="J445" s="26">
        <v>390.64</v>
      </c>
      <c r="K445" s="27" t="str">
        <f>TEXT(Table1[[#This Row],[Date]],"MMMM")</f>
        <v>March</v>
      </c>
    </row>
    <row r="446" spans="1:11" x14ac:dyDescent="0.25">
      <c r="A446" s="22">
        <v>355</v>
      </c>
      <c r="B446" s="23">
        <v>45859</v>
      </c>
      <c r="C446" s="12" t="s">
        <v>10</v>
      </c>
      <c r="D446" s="12" t="s">
        <v>16</v>
      </c>
      <c r="E446" s="12" t="s">
        <v>21</v>
      </c>
      <c r="F446" s="12" t="s">
        <v>33</v>
      </c>
      <c r="G446" s="12" t="s">
        <v>19</v>
      </c>
      <c r="H446" s="24">
        <v>61.29</v>
      </c>
      <c r="I446" s="25">
        <v>37</v>
      </c>
      <c r="J446" s="26">
        <v>2267.73</v>
      </c>
      <c r="K446" s="27" t="str">
        <f>TEXT(Table1[[#This Row],[Date]],"MMMM")</f>
        <v>July</v>
      </c>
    </row>
    <row r="447" spans="1:11" x14ac:dyDescent="0.25">
      <c r="A447" s="22">
        <v>473</v>
      </c>
      <c r="B447" s="23">
        <v>45972</v>
      </c>
      <c r="C447" s="12" t="s">
        <v>35</v>
      </c>
      <c r="D447" s="12" t="s">
        <v>16</v>
      </c>
      <c r="E447" s="12" t="s">
        <v>39</v>
      </c>
      <c r="F447" s="12" t="s">
        <v>33</v>
      </c>
      <c r="G447" s="12" t="s">
        <v>19</v>
      </c>
      <c r="H447" s="24">
        <v>54.88</v>
      </c>
      <c r="I447" s="25">
        <v>28</v>
      </c>
      <c r="J447" s="26">
        <v>1536.64</v>
      </c>
      <c r="K447" s="27" t="str">
        <f>TEXT(Table1[[#This Row],[Date]],"MMMM")</f>
        <v>November</v>
      </c>
    </row>
    <row r="448" spans="1:11" x14ac:dyDescent="0.25">
      <c r="A448" s="22">
        <v>439</v>
      </c>
      <c r="B448" s="23">
        <v>45698</v>
      </c>
      <c r="C448" s="12" t="s">
        <v>20</v>
      </c>
      <c r="D448" s="12" t="s">
        <v>37</v>
      </c>
      <c r="E448" s="12" t="s">
        <v>29</v>
      </c>
      <c r="F448" s="12" t="s">
        <v>33</v>
      </c>
      <c r="G448" s="12" t="s">
        <v>19</v>
      </c>
      <c r="H448" s="24">
        <v>50.4</v>
      </c>
      <c r="I448" s="25">
        <v>46</v>
      </c>
      <c r="J448" s="26">
        <v>2318.4</v>
      </c>
      <c r="K448" s="27" t="str">
        <f>TEXT(Table1[[#This Row],[Date]],"MMMM")</f>
        <v>February</v>
      </c>
    </row>
    <row r="449" spans="1:11" x14ac:dyDescent="0.25">
      <c r="A449" s="22">
        <v>201</v>
      </c>
      <c r="B449" s="23">
        <v>45932</v>
      </c>
      <c r="C449" s="12" t="s">
        <v>30</v>
      </c>
      <c r="D449" s="12" t="s">
        <v>37</v>
      </c>
      <c r="E449" s="12" t="s">
        <v>34</v>
      </c>
      <c r="F449" s="12" t="s">
        <v>33</v>
      </c>
      <c r="G449" s="12" t="s">
        <v>19</v>
      </c>
      <c r="H449" s="24">
        <v>6.89</v>
      </c>
      <c r="I449" s="25">
        <v>33</v>
      </c>
      <c r="J449" s="26">
        <v>227.37</v>
      </c>
      <c r="K449" s="27" t="str">
        <f>TEXT(Table1[[#This Row],[Date]],"MMMM")</f>
        <v>October</v>
      </c>
    </row>
    <row r="450" spans="1:11" x14ac:dyDescent="0.25">
      <c r="A450" s="22">
        <v>368</v>
      </c>
      <c r="B450" s="23">
        <v>45990</v>
      </c>
      <c r="C450" s="12" t="s">
        <v>30</v>
      </c>
      <c r="D450" s="12" t="s">
        <v>37</v>
      </c>
      <c r="E450" s="12" t="s">
        <v>21</v>
      </c>
      <c r="F450" s="12" t="s">
        <v>33</v>
      </c>
      <c r="G450" s="12" t="s">
        <v>19</v>
      </c>
      <c r="H450" s="24">
        <v>23.87</v>
      </c>
      <c r="I450" s="25">
        <v>23</v>
      </c>
      <c r="J450" s="26">
        <v>549.01</v>
      </c>
      <c r="K450" s="27" t="str">
        <f>TEXT(Table1[[#This Row],[Date]],"MMMM")</f>
        <v>November</v>
      </c>
    </row>
    <row r="451" spans="1:11" x14ac:dyDescent="0.25">
      <c r="A451" s="22">
        <v>242</v>
      </c>
      <c r="B451" s="23">
        <v>45684</v>
      </c>
      <c r="C451" s="12" t="s">
        <v>28</v>
      </c>
      <c r="D451" s="12" t="s">
        <v>36</v>
      </c>
      <c r="E451" s="12" t="s">
        <v>29</v>
      </c>
      <c r="F451" s="12" t="s">
        <v>33</v>
      </c>
      <c r="G451" s="12" t="s">
        <v>14</v>
      </c>
      <c r="H451" s="24">
        <v>70.58</v>
      </c>
      <c r="I451" s="25">
        <v>13</v>
      </c>
      <c r="J451" s="26">
        <v>917.54</v>
      </c>
      <c r="K451" s="27" t="str">
        <f>TEXT(Table1[[#This Row],[Date]],"MMMM")</f>
        <v>January</v>
      </c>
    </row>
    <row r="452" spans="1:11" x14ac:dyDescent="0.25">
      <c r="A452" s="22">
        <v>224</v>
      </c>
      <c r="B452" s="23">
        <v>45724</v>
      </c>
      <c r="C452" s="12" t="s">
        <v>15</v>
      </c>
      <c r="D452" s="12" t="s">
        <v>36</v>
      </c>
      <c r="E452" s="12" t="s">
        <v>21</v>
      </c>
      <c r="F452" s="12" t="s">
        <v>33</v>
      </c>
      <c r="G452" s="12" t="s">
        <v>14</v>
      </c>
      <c r="H452" s="24">
        <v>75.37</v>
      </c>
      <c r="I452" s="25">
        <v>6</v>
      </c>
      <c r="J452" s="26">
        <v>452.22</v>
      </c>
      <c r="K452" s="27" t="str">
        <f>TEXT(Table1[[#This Row],[Date]],"MMMM")</f>
        <v>March</v>
      </c>
    </row>
    <row r="453" spans="1:11" x14ac:dyDescent="0.25">
      <c r="A453" s="22">
        <v>407</v>
      </c>
      <c r="B453" s="23">
        <v>45734</v>
      </c>
      <c r="C453" s="12" t="s">
        <v>30</v>
      </c>
      <c r="D453" s="12" t="s">
        <v>36</v>
      </c>
      <c r="E453" s="12" t="s">
        <v>39</v>
      </c>
      <c r="F453" s="12" t="s">
        <v>33</v>
      </c>
      <c r="G453" s="12" t="s">
        <v>14</v>
      </c>
      <c r="H453" s="24">
        <v>8.98</v>
      </c>
      <c r="I453" s="25">
        <v>40</v>
      </c>
      <c r="J453" s="26">
        <v>359.2</v>
      </c>
      <c r="K453" s="27" t="str">
        <f>TEXT(Table1[[#This Row],[Date]],"MMMM")</f>
        <v>March</v>
      </c>
    </row>
    <row r="454" spans="1:11" x14ac:dyDescent="0.25">
      <c r="A454" s="22">
        <v>212</v>
      </c>
      <c r="B454" s="23">
        <v>45808</v>
      </c>
      <c r="C454" s="12" t="s">
        <v>28</v>
      </c>
      <c r="D454" s="12" t="s">
        <v>36</v>
      </c>
      <c r="E454" s="12" t="s">
        <v>34</v>
      </c>
      <c r="F454" s="12" t="s">
        <v>33</v>
      </c>
      <c r="G454" s="12" t="s">
        <v>14</v>
      </c>
      <c r="H454" s="24">
        <v>41.94</v>
      </c>
      <c r="I454" s="25">
        <v>6</v>
      </c>
      <c r="J454" s="26">
        <v>251.64</v>
      </c>
      <c r="K454" s="27" t="str">
        <f>TEXT(Table1[[#This Row],[Date]],"MMMM")</f>
        <v>May</v>
      </c>
    </row>
    <row r="455" spans="1:11" x14ac:dyDescent="0.25">
      <c r="A455" s="22">
        <v>39</v>
      </c>
      <c r="B455" s="23">
        <v>45836</v>
      </c>
      <c r="C455" s="12" t="s">
        <v>28</v>
      </c>
      <c r="D455" s="12" t="s">
        <v>36</v>
      </c>
      <c r="E455" s="12" t="s">
        <v>32</v>
      </c>
      <c r="F455" s="12" t="s">
        <v>33</v>
      </c>
      <c r="G455" s="12" t="s">
        <v>14</v>
      </c>
      <c r="H455" s="24">
        <v>106.3</v>
      </c>
      <c r="I455" s="25">
        <v>16</v>
      </c>
      <c r="J455" s="26">
        <v>1700.8</v>
      </c>
      <c r="K455" s="27" t="str">
        <f>TEXT(Table1[[#This Row],[Date]],"MMMM")</f>
        <v>June</v>
      </c>
    </row>
    <row r="456" spans="1:11" x14ac:dyDescent="0.25">
      <c r="A456" s="22">
        <v>321</v>
      </c>
      <c r="B456" s="23">
        <v>45873</v>
      </c>
      <c r="C456" s="12" t="s">
        <v>28</v>
      </c>
      <c r="D456" s="12" t="s">
        <v>36</v>
      </c>
      <c r="E456" s="12" t="s">
        <v>12</v>
      </c>
      <c r="F456" s="12" t="s">
        <v>33</v>
      </c>
      <c r="G456" s="12" t="s">
        <v>14</v>
      </c>
      <c r="H456" s="24">
        <v>39.47</v>
      </c>
      <c r="I456" s="25">
        <v>5</v>
      </c>
      <c r="J456" s="26">
        <v>197.35</v>
      </c>
      <c r="K456" s="27" t="str">
        <f>TEXT(Table1[[#This Row],[Date]],"MMMM")</f>
        <v>August</v>
      </c>
    </row>
    <row r="457" spans="1:11" x14ac:dyDescent="0.25">
      <c r="A457" s="22">
        <v>395</v>
      </c>
      <c r="B457" s="23">
        <v>45997</v>
      </c>
      <c r="C457" s="12" t="s">
        <v>10</v>
      </c>
      <c r="D457" s="12" t="s">
        <v>36</v>
      </c>
      <c r="E457" s="12" t="s">
        <v>24</v>
      </c>
      <c r="F457" s="12" t="s">
        <v>33</v>
      </c>
      <c r="G457" s="12" t="s">
        <v>14</v>
      </c>
      <c r="H457" s="24">
        <v>115.89</v>
      </c>
      <c r="I457" s="25">
        <v>16</v>
      </c>
      <c r="J457" s="26">
        <v>1854.24</v>
      </c>
      <c r="K457" s="27" t="str">
        <f>TEXT(Table1[[#This Row],[Date]],"MMMM")</f>
        <v>December</v>
      </c>
    </row>
    <row r="458" spans="1:11" x14ac:dyDescent="0.25">
      <c r="A458" s="22">
        <v>88</v>
      </c>
      <c r="B458" s="23">
        <v>46022</v>
      </c>
      <c r="C458" s="12" t="s">
        <v>15</v>
      </c>
      <c r="D458" s="12" t="s">
        <v>36</v>
      </c>
      <c r="E458" s="12" t="s">
        <v>12</v>
      </c>
      <c r="F458" s="12" t="s">
        <v>33</v>
      </c>
      <c r="G458" s="12" t="s">
        <v>14</v>
      </c>
      <c r="H458" s="24">
        <v>61.44</v>
      </c>
      <c r="I458" s="25">
        <v>2</v>
      </c>
      <c r="J458" s="26">
        <v>122.88</v>
      </c>
      <c r="K458" s="27" t="str">
        <f>TEXT(Table1[[#This Row],[Date]],"MMMM")</f>
        <v>December</v>
      </c>
    </row>
    <row r="459" spans="1:11" x14ac:dyDescent="0.25">
      <c r="A459" s="22">
        <v>263</v>
      </c>
      <c r="B459" s="23">
        <v>45662</v>
      </c>
      <c r="C459" s="12" t="s">
        <v>15</v>
      </c>
      <c r="D459" s="12" t="s">
        <v>31</v>
      </c>
      <c r="E459" s="12" t="s">
        <v>34</v>
      </c>
      <c r="F459" s="12" t="s">
        <v>33</v>
      </c>
      <c r="G459" s="12" t="s">
        <v>14</v>
      </c>
      <c r="H459" s="24">
        <v>39.32</v>
      </c>
      <c r="I459" s="25">
        <v>39</v>
      </c>
      <c r="J459" s="26">
        <v>1533.48</v>
      </c>
      <c r="K459" s="27" t="str">
        <f>TEXT(Table1[[#This Row],[Date]],"MMMM")</f>
        <v>January</v>
      </c>
    </row>
    <row r="460" spans="1:11" x14ac:dyDescent="0.25">
      <c r="A460" s="22">
        <v>391</v>
      </c>
      <c r="B460" s="23">
        <v>45670</v>
      </c>
      <c r="C460" s="12" t="s">
        <v>20</v>
      </c>
      <c r="D460" s="12" t="s">
        <v>31</v>
      </c>
      <c r="E460" s="12" t="s">
        <v>17</v>
      </c>
      <c r="F460" s="12" t="s">
        <v>33</v>
      </c>
      <c r="G460" s="12" t="s">
        <v>14</v>
      </c>
      <c r="H460" s="24">
        <v>31.79</v>
      </c>
      <c r="I460" s="25">
        <v>23</v>
      </c>
      <c r="J460" s="26">
        <v>731.17</v>
      </c>
      <c r="K460" s="27" t="str">
        <f>TEXT(Table1[[#This Row],[Date]],"MMMM")</f>
        <v>January</v>
      </c>
    </row>
    <row r="461" spans="1:11" x14ac:dyDescent="0.25">
      <c r="A461" s="22">
        <v>151</v>
      </c>
      <c r="B461" s="23">
        <v>45716</v>
      </c>
      <c r="C461" s="12" t="s">
        <v>27</v>
      </c>
      <c r="D461" s="12" t="s">
        <v>31</v>
      </c>
      <c r="E461" s="12" t="s">
        <v>29</v>
      </c>
      <c r="F461" s="12" t="s">
        <v>33</v>
      </c>
      <c r="G461" s="12" t="s">
        <v>14</v>
      </c>
      <c r="H461" s="24">
        <v>90.75</v>
      </c>
      <c r="I461" s="25">
        <v>31</v>
      </c>
      <c r="J461" s="26">
        <v>2813.25</v>
      </c>
      <c r="K461" s="27" t="str">
        <f>TEXT(Table1[[#This Row],[Date]],"MMMM")</f>
        <v>February</v>
      </c>
    </row>
    <row r="462" spans="1:11" x14ac:dyDescent="0.25">
      <c r="A462" s="22">
        <v>223</v>
      </c>
      <c r="B462" s="23">
        <v>45729</v>
      </c>
      <c r="C462" s="12" t="s">
        <v>20</v>
      </c>
      <c r="D462" s="12" t="s">
        <v>31</v>
      </c>
      <c r="E462" s="12" t="s">
        <v>24</v>
      </c>
      <c r="F462" s="12" t="s">
        <v>33</v>
      </c>
      <c r="G462" s="12" t="s">
        <v>14</v>
      </c>
      <c r="H462" s="24">
        <v>32.22</v>
      </c>
      <c r="I462" s="25">
        <v>32</v>
      </c>
      <c r="J462" s="26">
        <v>1031.04</v>
      </c>
      <c r="K462" s="27" t="str">
        <f>TEXT(Table1[[#This Row],[Date]],"MMMM")</f>
        <v>March</v>
      </c>
    </row>
    <row r="463" spans="1:11" x14ac:dyDescent="0.25">
      <c r="A463" s="22">
        <v>340</v>
      </c>
      <c r="B463" s="23">
        <v>45758</v>
      </c>
      <c r="C463" s="12" t="s">
        <v>27</v>
      </c>
      <c r="D463" s="12" t="s">
        <v>31</v>
      </c>
      <c r="E463" s="12" t="s">
        <v>21</v>
      </c>
      <c r="F463" s="12" t="s">
        <v>33</v>
      </c>
      <c r="G463" s="12" t="s">
        <v>14</v>
      </c>
      <c r="H463" s="24">
        <v>57.62</v>
      </c>
      <c r="I463" s="25">
        <v>17</v>
      </c>
      <c r="J463" s="26">
        <v>979.54</v>
      </c>
      <c r="K463" s="27" t="str">
        <f>TEXT(Table1[[#This Row],[Date]],"MMMM")</f>
        <v>April</v>
      </c>
    </row>
    <row r="464" spans="1:11" x14ac:dyDescent="0.25">
      <c r="A464" s="22">
        <v>252</v>
      </c>
      <c r="B464" s="23">
        <v>45824</v>
      </c>
      <c r="C464" s="12" t="s">
        <v>35</v>
      </c>
      <c r="D464" s="12" t="s">
        <v>31</v>
      </c>
      <c r="E464" s="12" t="s">
        <v>32</v>
      </c>
      <c r="F464" s="12" t="s">
        <v>33</v>
      </c>
      <c r="G464" s="12" t="s">
        <v>14</v>
      </c>
      <c r="H464" s="24">
        <v>119.78</v>
      </c>
      <c r="I464" s="25">
        <v>31</v>
      </c>
      <c r="J464" s="26">
        <v>3713.18</v>
      </c>
      <c r="K464" s="27" t="str">
        <f>TEXT(Table1[[#This Row],[Date]],"MMMM")</f>
        <v>June</v>
      </c>
    </row>
    <row r="465" spans="1:11" x14ac:dyDescent="0.25">
      <c r="A465" s="22">
        <v>298</v>
      </c>
      <c r="B465" s="23">
        <v>45852</v>
      </c>
      <c r="C465" s="12" t="s">
        <v>27</v>
      </c>
      <c r="D465" s="12" t="s">
        <v>31</v>
      </c>
      <c r="E465" s="12" t="s">
        <v>34</v>
      </c>
      <c r="F465" s="12" t="s">
        <v>33</v>
      </c>
      <c r="G465" s="12" t="s">
        <v>14</v>
      </c>
      <c r="H465" s="24">
        <v>70.53</v>
      </c>
      <c r="I465" s="25">
        <v>16</v>
      </c>
      <c r="J465" s="26">
        <v>1128.48</v>
      </c>
      <c r="K465" s="27" t="str">
        <f>TEXT(Table1[[#This Row],[Date]],"MMMM")</f>
        <v>July</v>
      </c>
    </row>
    <row r="466" spans="1:11" x14ac:dyDescent="0.25">
      <c r="A466" s="22">
        <v>348</v>
      </c>
      <c r="B466" s="23">
        <v>45919</v>
      </c>
      <c r="C466" s="12" t="s">
        <v>10</v>
      </c>
      <c r="D466" s="12" t="s">
        <v>31</v>
      </c>
      <c r="E466" s="12" t="s">
        <v>17</v>
      </c>
      <c r="F466" s="12" t="s">
        <v>33</v>
      </c>
      <c r="G466" s="12" t="s">
        <v>14</v>
      </c>
      <c r="H466" s="24">
        <v>18.02</v>
      </c>
      <c r="I466" s="25">
        <v>8</v>
      </c>
      <c r="J466" s="26">
        <v>144.16</v>
      </c>
      <c r="K466" s="27" t="str">
        <f>TEXT(Table1[[#This Row],[Date]],"MMMM")</f>
        <v>September</v>
      </c>
    </row>
    <row r="467" spans="1:11" x14ac:dyDescent="0.25">
      <c r="A467" s="22">
        <v>76</v>
      </c>
      <c r="B467" s="23">
        <v>45760</v>
      </c>
      <c r="C467" s="12" t="s">
        <v>23</v>
      </c>
      <c r="D467" s="12" t="s">
        <v>11</v>
      </c>
      <c r="E467" s="12" t="s">
        <v>32</v>
      </c>
      <c r="F467" s="12" t="s">
        <v>33</v>
      </c>
      <c r="G467" s="12" t="s">
        <v>14</v>
      </c>
      <c r="H467" s="24">
        <v>101.51</v>
      </c>
      <c r="I467" s="25">
        <v>40</v>
      </c>
      <c r="J467" s="26">
        <v>4060.4</v>
      </c>
      <c r="K467" s="27" t="str">
        <f>TEXT(Table1[[#This Row],[Date]],"MMMM")</f>
        <v>April</v>
      </c>
    </row>
    <row r="468" spans="1:11" x14ac:dyDescent="0.25">
      <c r="A468" s="22">
        <v>140</v>
      </c>
      <c r="B468" s="23">
        <v>45777</v>
      </c>
      <c r="C468" s="12" t="s">
        <v>28</v>
      </c>
      <c r="D468" s="12" t="s">
        <v>11</v>
      </c>
      <c r="E468" s="12" t="s">
        <v>29</v>
      </c>
      <c r="F468" s="12" t="s">
        <v>33</v>
      </c>
      <c r="G468" s="12" t="s">
        <v>14</v>
      </c>
      <c r="H468" s="24">
        <v>59.22</v>
      </c>
      <c r="I468" s="25">
        <v>40</v>
      </c>
      <c r="J468" s="26">
        <v>2368.8000000000002</v>
      </c>
      <c r="K468" s="27" t="str">
        <f>TEXT(Table1[[#This Row],[Date]],"MMMM")</f>
        <v>April</v>
      </c>
    </row>
    <row r="469" spans="1:11" x14ac:dyDescent="0.25">
      <c r="A469" s="22">
        <v>237</v>
      </c>
      <c r="B469" s="23">
        <v>45825</v>
      </c>
      <c r="C469" s="12" t="s">
        <v>28</v>
      </c>
      <c r="D469" s="12" t="s">
        <v>11</v>
      </c>
      <c r="E469" s="12" t="s">
        <v>32</v>
      </c>
      <c r="F469" s="12" t="s">
        <v>33</v>
      </c>
      <c r="G469" s="12" t="s">
        <v>14</v>
      </c>
      <c r="H469" s="24">
        <v>112.38</v>
      </c>
      <c r="I469" s="25">
        <v>47</v>
      </c>
      <c r="J469" s="26">
        <v>5281.86</v>
      </c>
      <c r="K469" s="27" t="str">
        <f>TEXT(Table1[[#This Row],[Date]],"MMMM")</f>
        <v>June</v>
      </c>
    </row>
    <row r="470" spans="1:11" x14ac:dyDescent="0.25">
      <c r="A470" s="22">
        <v>56</v>
      </c>
      <c r="B470" s="23">
        <v>45864</v>
      </c>
      <c r="C470" s="12" t="s">
        <v>23</v>
      </c>
      <c r="D470" s="12" t="s">
        <v>11</v>
      </c>
      <c r="E470" s="12" t="s">
        <v>21</v>
      </c>
      <c r="F470" s="12" t="s">
        <v>33</v>
      </c>
      <c r="G470" s="12" t="s">
        <v>14</v>
      </c>
      <c r="H470" s="24">
        <v>85.18</v>
      </c>
      <c r="I470" s="25">
        <v>36</v>
      </c>
      <c r="J470" s="26">
        <v>3066.48</v>
      </c>
      <c r="K470" s="27" t="str">
        <f>TEXT(Table1[[#This Row],[Date]],"MMMM")</f>
        <v>July</v>
      </c>
    </row>
    <row r="471" spans="1:11" x14ac:dyDescent="0.25">
      <c r="A471" s="22">
        <v>13</v>
      </c>
      <c r="B471" s="23">
        <v>45987</v>
      </c>
      <c r="C471" s="12" t="s">
        <v>23</v>
      </c>
      <c r="D471" s="12" t="s">
        <v>11</v>
      </c>
      <c r="E471" s="12" t="s">
        <v>34</v>
      </c>
      <c r="F471" s="12" t="s">
        <v>33</v>
      </c>
      <c r="G471" s="12" t="s">
        <v>14</v>
      </c>
      <c r="H471" s="24">
        <v>57.77</v>
      </c>
      <c r="I471" s="25">
        <v>17</v>
      </c>
      <c r="J471" s="26">
        <v>982.09</v>
      </c>
      <c r="K471" s="27" t="str">
        <f>TEXT(Table1[[#This Row],[Date]],"MMMM")</f>
        <v>November</v>
      </c>
    </row>
    <row r="472" spans="1:11" x14ac:dyDescent="0.25">
      <c r="A472" s="22">
        <v>272</v>
      </c>
      <c r="B472" s="23">
        <v>46017</v>
      </c>
      <c r="C472" s="12" t="s">
        <v>30</v>
      </c>
      <c r="D472" s="12" t="s">
        <v>11</v>
      </c>
      <c r="E472" s="12" t="s">
        <v>29</v>
      </c>
      <c r="F472" s="12" t="s">
        <v>33</v>
      </c>
      <c r="G472" s="12" t="s">
        <v>14</v>
      </c>
      <c r="H472" s="24">
        <v>68.16</v>
      </c>
      <c r="I472" s="25">
        <v>31</v>
      </c>
      <c r="J472" s="26">
        <v>2112.96</v>
      </c>
      <c r="K472" s="27" t="str">
        <f>TEXT(Table1[[#This Row],[Date]],"MMMM")</f>
        <v>December</v>
      </c>
    </row>
    <row r="473" spans="1:11" x14ac:dyDescent="0.25">
      <c r="A473" s="22">
        <v>103</v>
      </c>
      <c r="B473" s="23">
        <v>45742</v>
      </c>
      <c r="C473" s="12" t="s">
        <v>10</v>
      </c>
      <c r="D473" s="12" t="s">
        <v>38</v>
      </c>
      <c r="E473" s="12" t="s">
        <v>29</v>
      </c>
      <c r="F473" s="12" t="s">
        <v>33</v>
      </c>
      <c r="G473" s="12" t="s">
        <v>14</v>
      </c>
      <c r="H473" s="24">
        <v>96.15</v>
      </c>
      <c r="I473" s="25">
        <v>39</v>
      </c>
      <c r="J473" s="26">
        <v>3749.85</v>
      </c>
      <c r="K473" s="27" t="str">
        <f>TEXT(Table1[[#This Row],[Date]],"MMMM")</f>
        <v>March</v>
      </c>
    </row>
    <row r="474" spans="1:11" x14ac:dyDescent="0.25">
      <c r="A474" s="22">
        <v>87</v>
      </c>
      <c r="B474" s="23">
        <v>45755</v>
      </c>
      <c r="C474" s="12" t="s">
        <v>35</v>
      </c>
      <c r="D474" s="12" t="s">
        <v>38</v>
      </c>
      <c r="E474" s="12" t="s">
        <v>12</v>
      </c>
      <c r="F474" s="12" t="s">
        <v>33</v>
      </c>
      <c r="G474" s="12" t="s">
        <v>14</v>
      </c>
      <c r="H474" s="24">
        <v>14.85</v>
      </c>
      <c r="I474" s="25">
        <v>47</v>
      </c>
      <c r="J474" s="26">
        <v>697.95</v>
      </c>
      <c r="K474" s="27" t="str">
        <f>TEXT(Table1[[#This Row],[Date]],"MMMM")</f>
        <v>April</v>
      </c>
    </row>
    <row r="475" spans="1:11" x14ac:dyDescent="0.25">
      <c r="A475" s="22">
        <v>89</v>
      </c>
      <c r="B475" s="23">
        <v>45782</v>
      </c>
      <c r="C475" s="12" t="s">
        <v>28</v>
      </c>
      <c r="D475" s="12" t="s">
        <v>38</v>
      </c>
      <c r="E475" s="12" t="s">
        <v>24</v>
      </c>
      <c r="F475" s="12" t="s">
        <v>33</v>
      </c>
      <c r="G475" s="12" t="s">
        <v>14</v>
      </c>
      <c r="H475" s="24">
        <v>40.21</v>
      </c>
      <c r="I475" s="25">
        <v>38</v>
      </c>
      <c r="J475" s="26">
        <v>1527.98</v>
      </c>
      <c r="K475" s="27" t="str">
        <f>TEXT(Table1[[#This Row],[Date]],"MMMM")</f>
        <v>May</v>
      </c>
    </row>
    <row r="476" spans="1:11" x14ac:dyDescent="0.25">
      <c r="A476" s="22">
        <v>84</v>
      </c>
      <c r="B476" s="23">
        <v>45783</v>
      </c>
      <c r="C476" s="12" t="s">
        <v>10</v>
      </c>
      <c r="D476" s="12" t="s">
        <v>38</v>
      </c>
      <c r="E476" s="12" t="s">
        <v>12</v>
      </c>
      <c r="F476" s="12" t="s">
        <v>33</v>
      </c>
      <c r="G476" s="12" t="s">
        <v>14</v>
      </c>
      <c r="H476" s="24">
        <v>100.53</v>
      </c>
      <c r="I476" s="25">
        <v>6</v>
      </c>
      <c r="J476" s="26">
        <v>603.17999999999995</v>
      </c>
      <c r="K476" s="27" t="str">
        <f>TEXT(Table1[[#This Row],[Date]],"MMMM")</f>
        <v>May</v>
      </c>
    </row>
    <row r="477" spans="1:11" x14ac:dyDescent="0.25">
      <c r="A477" s="22">
        <v>31</v>
      </c>
      <c r="B477" s="23">
        <v>45852</v>
      </c>
      <c r="C477" s="12" t="s">
        <v>10</v>
      </c>
      <c r="D477" s="12" t="s">
        <v>38</v>
      </c>
      <c r="E477" s="12" t="s">
        <v>34</v>
      </c>
      <c r="F477" s="12" t="s">
        <v>33</v>
      </c>
      <c r="G477" s="12" t="s">
        <v>14</v>
      </c>
      <c r="H477" s="24">
        <v>5.25</v>
      </c>
      <c r="I477" s="25">
        <v>25</v>
      </c>
      <c r="J477" s="26">
        <v>131.25</v>
      </c>
      <c r="K477" s="27" t="str">
        <f>TEXT(Table1[[#This Row],[Date]],"MMMM")</f>
        <v>July</v>
      </c>
    </row>
    <row r="478" spans="1:11" x14ac:dyDescent="0.25">
      <c r="A478" s="22">
        <v>58</v>
      </c>
      <c r="B478" s="23">
        <v>45878</v>
      </c>
      <c r="C478" s="12" t="s">
        <v>28</v>
      </c>
      <c r="D478" s="12" t="s">
        <v>38</v>
      </c>
      <c r="E478" s="12" t="s">
        <v>39</v>
      </c>
      <c r="F478" s="12" t="s">
        <v>33</v>
      </c>
      <c r="G478" s="12" t="s">
        <v>14</v>
      </c>
      <c r="H478" s="24">
        <v>95.36</v>
      </c>
      <c r="I478" s="25">
        <v>39</v>
      </c>
      <c r="J478" s="26">
        <v>3719.04</v>
      </c>
      <c r="K478" s="27" t="str">
        <f>TEXT(Table1[[#This Row],[Date]],"MMMM")</f>
        <v>August</v>
      </c>
    </row>
    <row r="479" spans="1:11" x14ac:dyDescent="0.25">
      <c r="A479" s="22">
        <v>35</v>
      </c>
      <c r="B479" s="23">
        <v>45778</v>
      </c>
      <c r="C479" s="12" t="s">
        <v>30</v>
      </c>
      <c r="D479" s="12" t="s">
        <v>40</v>
      </c>
      <c r="E479" s="12" t="s">
        <v>29</v>
      </c>
      <c r="F479" s="12" t="s">
        <v>33</v>
      </c>
      <c r="G479" s="12" t="s">
        <v>14</v>
      </c>
      <c r="H479" s="24">
        <v>51.43</v>
      </c>
      <c r="I479" s="25">
        <v>37</v>
      </c>
      <c r="J479" s="26">
        <v>1902.91</v>
      </c>
      <c r="K479" s="27" t="str">
        <f>TEXT(Table1[[#This Row],[Date]],"MMMM")</f>
        <v>May</v>
      </c>
    </row>
    <row r="480" spans="1:11" x14ac:dyDescent="0.25">
      <c r="A480" s="22">
        <v>119</v>
      </c>
      <c r="B480" s="23">
        <v>45780</v>
      </c>
      <c r="C480" s="12" t="s">
        <v>35</v>
      </c>
      <c r="D480" s="12" t="s">
        <v>40</v>
      </c>
      <c r="E480" s="12" t="s">
        <v>24</v>
      </c>
      <c r="F480" s="12" t="s">
        <v>33</v>
      </c>
      <c r="G480" s="12" t="s">
        <v>14</v>
      </c>
      <c r="H480" s="24">
        <v>70.760000000000005</v>
      </c>
      <c r="I480" s="25">
        <v>15</v>
      </c>
      <c r="J480" s="26">
        <v>1061.4000000000001</v>
      </c>
      <c r="K480" s="27" t="str">
        <f>TEXT(Table1[[#This Row],[Date]],"MMMM")</f>
        <v>May</v>
      </c>
    </row>
    <row r="481" spans="1:11" x14ac:dyDescent="0.25">
      <c r="A481" s="22">
        <v>238</v>
      </c>
      <c r="B481" s="23">
        <v>45897</v>
      </c>
      <c r="C481" s="12" t="s">
        <v>27</v>
      </c>
      <c r="D481" s="12" t="s">
        <v>40</v>
      </c>
      <c r="E481" s="12" t="s">
        <v>29</v>
      </c>
      <c r="F481" s="12" t="s">
        <v>33</v>
      </c>
      <c r="G481" s="12" t="s">
        <v>14</v>
      </c>
      <c r="H481" s="24">
        <v>62.36</v>
      </c>
      <c r="I481" s="25">
        <v>20</v>
      </c>
      <c r="J481" s="26">
        <v>1247.2</v>
      </c>
      <c r="K481" s="27" t="str">
        <f>TEXT(Table1[[#This Row],[Date]],"MMMM")</f>
        <v>August</v>
      </c>
    </row>
    <row r="482" spans="1:11" x14ac:dyDescent="0.25">
      <c r="A482" s="22">
        <v>286</v>
      </c>
      <c r="B482" s="23">
        <v>45924</v>
      </c>
      <c r="C482" s="12" t="s">
        <v>10</v>
      </c>
      <c r="D482" s="12" t="s">
        <v>40</v>
      </c>
      <c r="E482" s="12" t="s">
        <v>32</v>
      </c>
      <c r="F482" s="12" t="s">
        <v>33</v>
      </c>
      <c r="G482" s="12" t="s">
        <v>14</v>
      </c>
      <c r="H482" s="24">
        <v>30.42</v>
      </c>
      <c r="I482" s="25">
        <v>20</v>
      </c>
      <c r="J482" s="26">
        <v>608.4</v>
      </c>
      <c r="K482" s="27" t="str">
        <f>TEXT(Table1[[#This Row],[Date]],"MMMM")</f>
        <v>September</v>
      </c>
    </row>
    <row r="483" spans="1:11" x14ac:dyDescent="0.25">
      <c r="A483" s="22">
        <v>33</v>
      </c>
      <c r="B483" s="23">
        <v>45954</v>
      </c>
      <c r="C483" s="12" t="s">
        <v>28</v>
      </c>
      <c r="D483" s="12" t="s">
        <v>40</v>
      </c>
      <c r="E483" s="12" t="s">
        <v>17</v>
      </c>
      <c r="F483" s="12" t="s">
        <v>33</v>
      </c>
      <c r="G483" s="12" t="s">
        <v>14</v>
      </c>
      <c r="H483" s="24">
        <v>89.61</v>
      </c>
      <c r="I483" s="25">
        <v>4</v>
      </c>
      <c r="J483" s="26">
        <v>358.44</v>
      </c>
      <c r="K483" s="27" t="str">
        <f>TEXT(Table1[[#This Row],[Date]],"MMMM")</f>
        <v>October</v>
      </c>
    </row>
    <row r="484" spans="1:11" x14ac:dyDescent="0.25">
      <c r="A484" s="22">
        <v>150</v>
      </c>
      <c r="B484" s="23">
        <v>45959</v>
      </c>
      <c r="C484" s="12" t="s">
        <v>10</v>
      </c>
      <c r="D484" s="12" t="s">
        <v>40</v>
      </c>
      <c r="E484" s="12" t="s">
        <v>32</v>
      </c>
      <c r="F484" s="12" t="s">
        <v>33</v>
      </c>
      <c r="G484" s="12" t="s">
        <v>14</v>
      </c>
      <c r="H484" s="24">
        <v>42.23</v>
      </c>
      <c r="I484" s="25">
        <v>12</v>
      </c>
      <c r="J484" s="26">
        <v>506.76</v>
      </c>
      <c r="K484" s="27" t="str">
        <f>TEXT(Table1[[#This Row],[Date]],"MMMM")</f>
        <v>October</v>
      </c>
    </row>
    <row r="485" spans="1:11" x14ac:dyDescent="0.25">
      <c r="A485" s="22">
        <v>168</v>
      </c>
      <c r="B485" s="23">
        <v>46005</v>
      </c>
      <c r="C485" s="12" t="s">
        <v>10</v>
      </c>
      <c r="D485" s="12" t="s">
        <v>40</v>
      </c>
      <c r="E485" s="12" t="s">
        <v>12</v>
      </c>
      <c r="F485" s="12" t="s">
        <v>33</v>
      </c>
      <c r="G485" s="12" t="s">
        <v>14</v>
      </c>
      <c r="H485" s="24">
        <v>83.03</v>
      </c>
      <c r="I485" s="25">
        <v>32</v>
      </c>
      <c r="J485" s="26">
        <v>2656.96</v>
      </c>
      <c r="K485" s="27" t="str">
        <f>TEXT(Table1[[#This Row],[Date]],"MMMM")</f>
        <v>December</v>
      </c>
    </row>
    <row r="486" spans="1:11" x14ac:dyDescent="0.25">
      <c r="A486" s="22">
        <v>409</v>
      </c>
      <c r="B486" s="23">
        <v>45927</v>
      </c>
      <c r="C486" s="12" t="s">
        <v>20</v>
      </c>
      <c r="D486" s="12" t="s">
        <v>16</v>
      </c>
      <c r="E486" s="12" t="s">
        <v>24</v>
      </c>
      <c r="F486" s="12" t="s">
        <v>33</v>
      </c>
      <c r="G486" s="12" t="s">
        <v>14</v>
      </c>
      <c r="H486" s="24">
        <v>33.65</v>
      </c>
      <c r="I486" s="25">
        <v>35</v>
      </c>
      <c r="J486" s="26">
        <v>1177.75</v>
      </c>
      <c r="K486" s="27" t="str">
        <f>TEXT(Table1[[#This Row],[Date]],"MMMM")</f>
        <v>September</v>
      </c>
    </row>
    <row r="487" spans="1:11" x14ac:dyDescent="0.25">
      <c r="A487" s="22">
        <v>231</v>
      </c>
      <c r="B487" s="23">
        <v>45986</v>
      </c>
      <c r="C487" s="12" t="s">
        <v>30</v>
      </c>
      <c r="D487" s="12" t="s">
        <v>16</v>
      </c>
      <c r="E487" s="12" t="s">
        <v>17</v>
      </c>
      <c r="F487" s="12" t="s">
        <v>33</v>
      </c>
      <c r="G487" s="12" t="s">
        <v>14</v>
      </c>
      <c r="H487" s="24">
        <v>93.67</v>
      </c>
      <c r="I487" s="25">
        <v>17</v>
      </c>
      <c r="J487" s="26">
        <v>1592.39</v>
      </c>
      <c r="K487" s="27" t="str">
        <f>TEXT(Table1[[#This Row],[Date]],"MMMM")</f>
        <v>November</v>
      </c>
    </row>
    <row r="488" spans="1:11" x14ac:dyDescent="0.25">
      <c r="A488" s="22">
        <v>143</v>
      </c>
      <c r="B488" s="23">
        <v>46014</v>
      </c>
      <c r="C488" s="12" t="s">
        <v>23</v>
      </c>
      <c r="D488" s="12" t="s">
        <v>16</v>
      </c>
      <c r="E488" s="12" t="s">
        <v>29</v>
      </c>
      <c r="F488" s="12" t="s">
        <v>33</v>
      </c>
      <c r="G488" s="12" t="s">
        <v>14</v>
      </c>
      <c r="H488" s="24">
        <v>113.79</v>
      </c>
      <c r="I488" s="25">
        <v>27</v>
      </c>
      <c r="J488" s="26">
        <v>3072.33</v>
      </c>
      <c r="K488" s="27" t="str">
        <f>TEXT(Table1[[#This Row],[Date]],"MMMM")</f>
        <v>December</v>
      </c>
    </row>
    <row r="489" spans="1:11" x14ac:dyDescent="0.25">
      <c r="A489" s="22">
        <v>393</v>
      </c>
      <c r="B489" s="23">
        <v>46022</v>
      </c>
      <c r="C489" s="12" t="s">
        <v>30</v>
      </c>
      <c r="D489" s="12" t="s">
        <v>16</v>
      </c>
      <c r="E489" s="12" t="s">
        <v>24</v>
      </c>
      <c r="F489" s="12" t="s">
        <v>33</v>
      </c>
      <c r="G489" s="12" t="s">
        <v>14</v>
      </c>
      <c r="H489" s="24">
        <v>37.18</v>
      </c>
      <c r="I489" s="25">
        <v>3</v>
      </c>
      <c r="J489" s="26">
        <v>111.54</v>
      </c>
      <c r="K489" s="27" t="str">
        <f>TEXT(Table1[[#This Row],[Date]],"MMMM")</f>
        <v>December</v>
      </c>
    </row>
    <row r="490" spans="1:11" x14ac:dyDescent="0.25">
      <c r="A490" s="22">
        <v>200</v>
      </c>
      <c r="B490" s="23">
        <v>45720</v>
      </c>
      <c r="C490" s="12" t="s">
        <v>27</v>
      </c>
      <c r="D490" s="12" t="s">
        <v>26</v>
      </c>
      <c r="E490" s="12" t="s">
        <v>29</v>
      </c>
      <c r="F490" s="12" t="s">
        <v>33</v>
      </c>
      <c r="G490" s="12" t="s">
        <v>14</v>
      </c>
      <c r="H490" s="24">
        <v>10.49</v>
      </c>
      <c r="I490" s="25">
        <v>27</v>
      </c>
      <c r="J490" s="26">
        <v>283.23</v>
      </c>
      <c r="K490" s="27" t="str">
        <f>TEXT(Table1[[#This Row],[Date]],"MMMM")</f>
        <v>March</v>
      </c>
    </row>
    <row r="491" spans="1:11" x14ac:dyDescent="0.25">
      <c r="A491" s="22">
        <v>114</v>
      </c>
      <c r="B491" s="23">
        <v>45773</v>
      </c>
      <c r="C491" s="12" t="s">
        <v>27</v>
      </c>
      <c r="D491" s="12" t="s">
        <v>26</v>
      </c>
      <c r="E491" s="12" t="s">
        <v>32</v>
      </c>
      <c r="F491" s="12" t="s">
        <v>33</v>
      </c>
      <c r="G491" s="12" t="s">
        <v>14</v>
      </c>
      <c r="H491" s="24">
        <v>119.11</v>
      </c>
      <c r="I491" s="25">
        <v>8</v>
      </c>
      <c r="J491" s="26">
        <v>952.88</v>
      </c>
      <c r="K491" s="27" t="str">
        <f>TEXT(Table1[[#This Row],[Date]],"MMMM")</f>
        <v>April</v>
      </c>
    </row>
    <row r="492" spans="1:11" x14ac:dyDescent="0.25">
      <c r="A492" s="22">
        <v>437</v>
      </c>
      <c r="B492" s="23">
        <v>45795</v>
      </c>
      <c r="C492" s="12" t="s">
        <v>15</v>
      </c>
      <c r="D492" s="12" t="s">
        <v>26</v>
      </c>
      <c r="E492" s="12" t="s">
        <v>24</v>
      </c>
      <c r="F492" s="12" t="s">
        <v>33</v>
      </c>
      <c r="G492" s="12" t="s">
        <v>14</v>
      </c>
      <c r="H492" s="24">
        <v>69.89</v>
      </c>
      <c r="I492" s="25">
        <v>10</v>
      </c>
      <c r="J492" s="26">
        <v>698.9</v>
      </c>
      <c r="K492" s="27" t="str">
        <f>TEXT(Table1[[#This Row],[Date]],"MMMM")</f>
        <v>May</v>
      </c>
    </row>
    <row r="493" spans="1:11" x14ac:dyDescent="0.25">
      <c r="A493" s="22">
        <v>15</v>
      </c>
      <c r="B493" s="23">
        <v>45979</v>
      </c>
      <c r="C493" s="12" t="s">
        <v>35</v>
      </c>
      <c r="D493" s="12" t="s">
        <v>26</v>
      </c>
      <c r="E493" s="12" t="s">
        <v>21</v>
      </c>
      <c r="F493" s="12" t="s">
        <v>33</v>
      </c>
      <c r="G493" s="12" t="s">
        <v>14</v>
      </c>
      <c r="H493" s="24">
        <v>23.4</v>
      </c>
      <c r="I493" s="25">
        <v>44</v>
      </c>
      <c r="J493" s="26">
        <v>1029.5999999999999</v>
      </c>
      <c r="K493" s="27" t="str">
        <f>TEXT(Table1[[#This Row],[Date]],"MMMM")</f>
        <v>November</v>
      </c>
    </row>
    <row r="494" spans="1:11" x14ac:dyDescent="0.25">
      <c r="A494" s="22">
        <v>481</v>
      </c>
      <c r="B494" s="23">
        <v>46011</v>
      </c>
      <c r="C494" s="12" t="s">
        <v>35</v>
      </c>
      <c r="D494" s="12" t="s">
        <v>26</v>
      </c>
      <c r="E494" s="12" t="s">
        <v>34</v>
      </c>
      <c r="F494" s="12" t="s">
        <v>33</v>
      </c>
      <c r="G494" s="12" t="s">
        <v>14</v>
      </c>
      <c r="H494" s="24">
        <v>18.32</v>
      </c>
      <c r="I494" s="25">
        <v>29</v>
      </c>
      <c r="J494" s="26">
        <v>531.28</v>
      </c>
      <c r="K494" s="27" t="str">
        <f>TEXT(Table1[[#This Row],[Date]],"MMMM")</f>
        <v>December</v>
      </c>
    </row>
    <row r="495" spans="1:11" x14ac:dyDescent="0.25">
      <c r="A495" s="22">
        <v>347</v>
      </c>
      <c r="B495" s="23">
        <v>45674</v>
      </c>
      <c r="C495" s="12" t="s">
        <v>10</v>
      </c>
      <c r="D495" s="12" t="s">
        <v>37</v>
      </c>
      <c r="E495" s="12" t="s">
        <v>39</v>
      </c>
      <c r="F495" s="12" t="s">
        <v>33</v>
      </c>
      <c r="G495" s="12" t="s">
        <v>14</v>
      </c>
      <c r="H495" s="24">
        <v>36.61</v>
      </c>
      <c r="I495" s="25">
        <v>35</v>
      </c>
      <c r="J495" s="26">
        <v>1281.3499999999999</v>
      </c>
      <c r="K495" s="27" t="str">
        <f>TEXT(Table1[[#This Row],[Date]],"MMMM")</f>
        <v>January</v>
      </c>
    </row>
    <row r="496" spans="1:11" x14ac:dyDescent="0.25">
      <c r="A496" s="22">
        <v>170</v>
      </c>
      <c r="B496" s="23">
        <v>45719</v>
      </c>
      <c r="C496" s="12" t="s">
        <v>35</v>
      </c>
      <c r="D496" s="12" t="s">
        <v>37</v>
      </c>
      <c r="E496" s="12" t="s">
        <v>32</v>
      </c>
      <c r="F496" s="12" t="s">
        <v>33</v>
      </c>
      <c r="G496" s="12" t="s">
        <v>14</v>
      </c>
      <c r="H496" s="24">
        <v>5.89</v>
      </c>
      <c r="I496" s="25">
        <v>48</v>
      </c>
      <c r="J496" s="26">
        <v>282.72000000000003</v>
      </c>
      <c r="K496" s="27" t="str">
        <f>TEXT(Table1[[#This Row],[Date]],"MMMM")</f>
        <v>March</v>
      </c>
    </row>
    <row r="497" spans="1:11" x14ac:dyDescent="0.25">
      <c r="A497" s="22">
        <v>177</v>
      </c>
      <c r="B497" s="23">
        <v>45759</v>
      </c>
      <c r="C497" s="12" t="s">
        <v>15</v>
      </c>
      <c r="D497" s="12" t="s">
        <v>37</v>
      </c>
      <c r="E497" s="12" t="s">
        <v>39</v>
      </c>
      <c r="F497" s="12" t="s">
        <v>33</v>
      </c>
      <c r="G497" s="12" t="s">
        <v>14</v>
      </c>
      <c r="H497" s="24">
        <v>24.95</v>
      </c>
      <c r="I497" s="25">
        <v>10</v>
      </c>
      <c r="J497" s="26">
        <v>249.5</v>
      </c>
      <c r="K497" s="27" t="str">
        <f>TEXT(Table1[[#This Row],[Date]],"MMMM")</f>
        <v>April</v>
      </c>
    </row>
    <row r="498" spans="1:11" x14ac:dyDescent="0.25">
      <c r="A498" s="22">
        <v>218</v>
      </c>
      <c r="B498" s="23">
        <v>45800</v>
      </c>
      <c r="C498" s="12" t="s">
        <v>20</v>
      </c>
      <c r="D498" s="12" t="s">
        <v>37</v>
      </c>
      <c r="E498" s="12" t="s">
        <v>39</v>
      </c>
      <c r="F498" s="12" t="s">
        <v>33</v>
      </c>
      <c r="G498" s="12" t="s">
        <v>14</v>
      </c>
      <c r="H498" s="24">
        <v>33.71</v>
      </c>
      <c r="I498" s="25">
        <v>8</v>
      </c>
      <c r="J498" s="26">
        <v>269.68</v>
      </c>
      <c r="K498" s="27" t="str">
        <f>TEXT(Table1[[#This Row],[Date]],"MMMM")</f>
        <v>May</v>
      </c>
    </row>
    <row r="499" spans="1:11" x14ac:dyDescent="0.25">
      <c r="A499" s="22">
        <v>128</v>
      </c>
      <c r="B499" s="23">
        <v>45853</v>
      </c>
      <c r="C499" s="12" t="s">
        <v>27</v>
      </c>
      <c r="D499" s="12" t="s">
        <v>37</v>
      </c>
      <c r="E499" s="12" t="s">
        <v>12</v>
      </c>
      <c r="F499" s="12" t="s">
        <v>33</v>
      </c>
      <c r="G499" s="12" t="s">
        <v>14</v>
      </c>
      <c r="H499" s="24">
        <v>76.27</v>
      </c>
      <c r="I499" s="25">
        <v>16</v>
      </c>
      <c r="J499" s="26">
        <v>1220.32</v>
      </c>
      <c r="K499" s="27" t="str">
        <f>TEXT(Table1[[#This Row],[Date]],"MMMM")</f>
        <v>July</v>
      </c>
    </row>
    <row r="500" spans="1:11" x14ac:dyDescent="0.25">
      <c r="A500" s="22">
        <v>326</v>
      </c>
      <c r="B500" s="23">
        <v>45859</v>
      </c>
      <c r="C500" s="12" t="s">
        <v>30</v>
      </c>
      <c r="D500" s="12" t="s">
        <v>37</v>
      </c>
      <c r="E500" s="12" t="s">
        <v>17</v>
      </c>
      <c r="F500" s="12" t="s">
        <v>33</v>
      </c>
      <c r="G500" s="12" t="s">
        <v>14</v>
      </c>
      <c r="H500" s="24">
        <v>46.98</v>
      </c>
      <c r="I500" s="25">
        <v>37</v>
      </c>
      <c r="J500" s="26">
        <v>1738.26</v>
      </c>
      <c r="K500" s="27" t="str">
        <f>TEXT(Table1[[#This Row],[Date]],"MMMM")</f>
        <v>July</v>
      </c>
    </row>
    <row r="501" spans="1:11" x14ac:dyDescent="0.25">
      <c r="A501" s="28">
        <v>226</v>
      </c>
      <c r="B501" s="29">
        <v>45896</v>
      </c>
      <c r="C501" s="15" t="s">
        <v>23</v>
      </c>
      <c r="D501" s="15" t="s">
        <v>37</v>
      </c>
      <c r="E501" s="15" t="s">
        <v>32</v>
      </c>
      <c r="F501" s="15" t="s">
        <v>33</v>
      </c>
      <c r="G501" s="15" t="s">
        <v>14</v>
      </c>
      <c r="H501" s="30">
        <v>83.21</v>
      </c>
      <c r="I501" s="31">
        <v>23</v>
      </c>
      <c r="J501" s="32">
        <v>1913.83</v>
      </c>
      <c r="K501" s="33" t="str">
        <f>TEXT(Table1[[#This Row],[Date]],"MMMM")</f>
        <v>August</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46BDD-4835-47E0-817E-564DB5FB82F7}">
  <dimension ref="A1:H42"/>
  <sheetViews>
    <sheetView zoomScale="159" zoomScaleNormal="145" workbookViewId="0">
      <selection activeCell="I35" sqref="I35"/>
    </sheetView>
  </sheetViews>
  <sheetFormatPr defaultRowHeight="15" x14ac:dyDescent="0.25"/>
  <cols>
    <col min="1" max="1" width="16.7109375" bestFit="1" customWidth="1"/>
    <col min="2" max="2" width="13.85546875" bestFit="1" customWidth="1"/>
    <col min="3" max="3" width="12" bestFit="1" customWidth="1"/>
    <col min="4" max="4" width="11.28515625" bestFit="1" customWidth="1"/>
    <col min="5" max="5" width="19.140625" bestFit="1" customWidth="1"/>
    <col min="6" max="6" width="13.85546875" bestFit="1" customWidth="1"/>
    <col min="8" max="8" width="17.85546875" bestFit="1" customWidth="1"/>
    <col min="9" max="9" width="24.140625" bestFit="1" customWidth="1"/>
    <col min="10" max="10" width="17.42578125" bestFit="1" customWidth="1"/>
  </cols>
  <sheetData>
    <row r="1" spans="1:6" x14ac:dyDescent="0.25">
      <c r="A1" s="41" t="s">
        <v>65</v>
      </c>
      <c r="B1" s="42"/>
      <c r="C1" s="42"/>
      <c r="D1" s="42"/>
      <c r="E1" s="42"/>
      <c r="F1" s="43"/>
    </row>
    <row r="2" spans="1:6" x14ac:dyDescent="0.25">
      <c r="A2" s="44"/>
      <c r="B2" s="45"/>
      <c r="C2" s="45"/>
      <c r="D2" s="45"/>
      <c r="E2" s="45"/>
      <c r="F2" s="46"/>
    </row>
    <row r="3" spans="1:6" x14ac:dyDescent="0.25">
      <c r="A3" s="7"/>
      <c r="B3" s="5"/>
      <c r="C3" s="5"/>
      <c r="D3" s="5"/>
      <c r="E3" s="5"/>
      <c r="F3" s="6"/>
    </row>
    <row r="4" spans="1:6" ht="15.75" x14ac:dyDescent="0.25">
      <c r="A4" s="47" t="s">
        <v>67</v>
      </c>
      <c r="B4" s="48"/>
      <c r="C4" s="48"/>
      <c r="D4" s="48"/>
      <c r="E4" s="48"/>
      <c r="F4" s="49"/>
    </row>
    <row r="5" spans="1:6" x14ac:dyDescent="0.25">
      <c r="A5" s="7"/>
      <c r="B5" s="59" t="s">
        <v>55</v>
      </c>
      <c r="C5" s="59" t="s">
        <v>56</v>
      </c>
      <c r="D5" s="59" t="s">
        <v>8</v>
      </c>
      <c r="E5" s="59" t="s">
        <v>68</v>
      </c>
      <c r="F5" s="6"/>
    </row>
    <row r="6" spans="1:6" x14ac:dyDescent="0.25">
      <c r="A6" s="7"/>
      <c r="B6" s="60">
        <v>793188.5</v>
      </c>
      <c r="C6" s="60">
        <v>500</v>
      </c>
      <c r="D6" s="60">
        <v>12708</v>
      </c>
      <c r="E6" s="60">
        <v>1586.377</v>
      </c>
      <c r="F6" s="6"/>
    </row>
    <row r="7" spans="1:6" x14ac:dyDescent="0.25">
      <c r="A7" s="7"/>
      <c r="B7" s="5"/>
      <c r="C7" s="5"/>
      <c r="D7" s="5"/>
      <c r="E7" s="5"/>
      <c r="F7" s="6"/>
    </row>
    <row r="8" spans="1:6" x14ac:dyDescent="0.25">
      <c r="A8" s="50" t="s">
        <v>57</v>
      </c>
      <c r="B8" s="51"/>
      <c r="C8" s="5"/>
      <c r="D8" s="5"/>
      <c r="E8" s="37" t="s">
        <v>58</v>
      </c>
      <c r="F8" s="38"/>
    </row>
    <row r="9" spans="1:6" x14ac:dyDescent="0.25">
      <c r="A9" s="57" t="s">
        <v>2</v>
      </c>
      <c r="B9" s="61" t="s">
        <v>55</v>
      </c>
      <c r="C9" s="5"/>
      <c r="D9" s="5"/>
      <c r="E9" s="61" t="s">
        <v>4</v>
      </c>
      <c r="F9" s="63" t="s">
        <v>55</v>
      </c>
    </row>
    <row r="10" spans="1:6" x14ac:dyDescent="0.25">
      <c r="A10" s="56" t="s">
        <v>23</v>
      </c>
      <c r="B10" s="52">
        <v>155245.81</v>
      </c>
      <c r="C10" s="5"/>
      <c r="D10" s="5"/>
      <c r="E10" s="53" t="s">
        <v>39</v>
      </c>
      <c r="F10" s="55">
        <v>85349.39</v>
      </c>
    </row>
    <row r="11" spans="1:6" x14ac:dyDescent="0.25">
      <c r="A11" s="56" t="s">
        <v>15</v>
      </c>
      <c r="B11" s="52">
        <v>123593.2</v>
      </c>
      <c r="C11" s="5"/>
      <c r="D11" s="5"/>
      <c r="E11" s="53" t="s">
        <v>24</v>
      </c>
      <c r="F11" s="55">
        <v>80364.06</v>
      </c>
    </row>
    <row r="12" spans="1:6" x14ac:dyDescent="0.25">
      <c r="A12" s="56" t="s">
        <v>28</v>
      </c>
      <c r="B12" s="52">
        <v>99810.99</v>
      </c>
      <c r="C12" s="5"/>
      <c r="D12" s="5"/>
      <c r="E12" s="53" t="s">
        <v>21</v>
      </c>
      <c r="F12" s="55">
        <v>92125.73</v>
      </c>
    </row>
    <row r="13" spans="1:6" x14ac:dyDescent="0.25">
      <c r="A13" s="56" t="s">
        <v>10</v>
      </c>
      <c r="B13" s="52">
        <v>95001.67</v>
      </c>
      <c r="C13" s="5"/>
      <c r="D13" s="5"/>
      <c r="E13" s="53" t="s">
        <v>34</v>
      </c>
      <c r="F13" s="55">
        <v>109638.23</v>
      </c>
    </row>
    <row r="14" spans="1:6" x14ac:dyDescent="0.25">
      <c r="A14" s="56" t="s">
        <v>35</v>
      </c>
      <c r="B14" s="52">
        <v>88792.62</v>
      </c>
      <c r="C14" s="5"/>
      <c r="D14" s="5"/>
      <c r="E14" s="53" t="s">
        <v>32</v>
      </c>
      <c r="F14" s="55">
        <v>120778.08</v>
      </c>
    </row>
    <row r="15" spans="1:6" x14ac:dyDescent="0.25">
      <c r="A15" s="56" t="s">
        <v>27</v>
      </c>
      <c r="B15" s="52">
        <v>86983.48</v>
      </c>
      <c r="C15" s="5"/>
      <c r="D15" s="5"/>
      <c r="E15" s="53" t="s">
        <v>12</v>
      </c>
      <c r="F15" s="55">
        <v>93567.94</v>
      </c>
    </row>
    <row r="16" spans="1:6" x14ac:dyDescent="0.25">
      <c r="A16" s="56" t="s">
        <v>30</v>
      </c>
      <c r="B16" s="52">
        <v>76357.17</v>
      </c>
      <c r="C16" s="5"/>
      <c r="D16" s="5"/>
      <c r="E16" s="53" t="s">
        <v>29</v>
      </c>
      <c r="F16" s="55">
        <v>115359.56</v>
      </c>
    </row>
    <row r="17" spans="1:8" x14ac:dyDescent="0.25">
      <c r="A17" s="56" t="s">
        <v>20</v>
      </c>
      <c r="B17" s="52">
        <v>67403.56</v>
      </c>
      <c r="C17" s="5"/>
      <c r="D17" s="5"/>
      <c r="E17" s="53" t="s">
        <v>17</v>
      </c>
      <c r="F17" s="55">
        <v>96005.51</v>
      </c>
    </row>
    <row r="18" spans="1:8" x14ac:dyDescent="0.25">
      <c r="A18" s="56" t="s">
        <v>54</v>
      </c>
      <c r="B18" s="52">
        <v>793188.5</v>
      </c>
      <c r="C18" s="5"/>
      <c r="D18" s="5"/>
      <c r="E18" s="53" t="s">
        <v>54</v>
      </c>
      <c r="F18" s="55">
        <v>793188.5</v>
      </c>
    </row>
    <row r="19" spans="1:8" x14ac:dyDescent="0.25">
      <c r="A19" s="7"/>
      <c r="B19" s="5"/>
      <c r="C19" s="5"/>
      <c r="D19" s="5"/>
      <c r="E19" s="5"/>
      <c r="F19" s="6"/>
    </row>
    <row r="20" spans="1:8" x14ac:dyDescent="0.25">
      <c r="A20" s="50" t="s">
        <v>59</v>
      </c>
      <c r="B20" s="51"/>
      <c r="C20" s="5"/>
      <c r="D20" s="5"/>
      <c r="E20" s="35" t="s">
        <v>61</v>
      </c>
      <c r="F20" s="36"/>
    </row>
    <row r="21" spans="1:8" x14ac:dyDescent="0.25">
      <c r="A21" s="64" t="s">
        <v>66</v>
      </c>
      <c r="B21" s="58" t="s">
        <v>55</v>
      </c>
      <c r="C21" s="5"/>
      <c r="D21" s="5"/>
      <c r="E21" s="61" t="s">
        <v>60</v>
      </c>
      <c r="F21" s="63" t="s">
        <v>55</v>
      </c>
    </row>
    <row r="22" spans="1:8" x14ac:dyDescent="0.25">
      <c r="A22" s="56" t="s">
        <v>14</v>
      </c>
      <c r="B22" s="52">
        <v>290527.71000000002</v>
      </c>
      <c r="C22" s="5"/>
      <c r="D22" s="5"/>
      <c r="E22" s="53" t="s">
        <v>33</v>
      </c>
      <c r="F22" s="55">
        <v>175949.01</v>
      </c>
    </row>
    <row r="23" spans="1:8" x14ac:dyDescent="0.25">
      <c r="A23" s="56" t="s">
        <v>22</v>
      </c>
      <c r="B23" s="52">
        <v>282921.96000000002</v>
      </c>
      <c r="C23" s="5"/>
      <c r="D23" s="5"/>
      <c r="E23" s="53" t="s">
        <v>25</v>
      </c>
      <c r="F23" s="55">
        <v>189931.46</v>
      </c>
    </row>
    <row r="24" spans="1:8" x14ac:dyDescent="0.25">
      <c r="A24" s="56" t="s">
        <v>19</v>
      </c>
      <c r="B24" s="52">
        <v>219738.83</v>
      </c>
      <c r="C24" s="5"/>
      <c r="D24" s="5"/>
      <c r="E24" s="53" t="s">
        <v>18</v>
      </c>
      <c r="F24" s="55">
        <v>224882.6</v>
      </c>
      <c r="H24" s="10"/>
    </row>
    <row r="25" spans="1:8" x14ac:dyDescent="0.25">
      <c r="A25" s="56" t="s">
        <v>54</v>
      </c>
      <c r="B25" s="52">
        <v>793188.5</v>
      </c>
      <c r="C25" s="5"/>
      <c r="D25" s="5"/>
      <c r="E25" s="53" t="s">
        <v>13</v>
      </c>
      <c r="F25" s="55">
        <v>202425.43</v>
      </c>
    </row>
    <row r="26" spans="1:8" x14ac:dyDescent="0.25">
      <c r="A26" s="7"/>
      <c r="B26" s="5"/>
      <c r="C26" s="5"/>
      <c r="D26" s="5"/>
      <c r="E26" s="53" t="s">
        <v>54</v>
      </c>
      <c r="F26" s="55">
        <v>793188.5</v>
      </c>
    </row>
    <row r="27" spans="1:8" x14ac:dyDescent="0.25">
      <c r="A27" s="7"/>
      <c r="B27" s="5"/>
      <c r="C27" s="5"/>
      <c r="D27" s="5"/>
      <c r="E27" s="5"/>
      <c r="F27" s="6"/>
    </row>
    <row r="28" spans="1:8" x14ac:dyDescent="0.25">
      <c r="A28" s="40" t="s">
        <v>63</v>
      </c>
      <c r="B28" s="35"/>
      <c r="C28" s="5"/>
      <c r="D28" s="37" t="s">
        <v>64</v>
      </c>
      <c r="E28" s="39"/>
      <c r="F28" s="38"/>
    </row>
    <row r="29" spans="1:8" x14ac:dyDescent="0.25">
      <c r="A29" s="65" t="s">
        <v>62</v>
      </c>
      <c r="B29" s="62" t="s">
        <v>55</v>
      </c>
      <c r="C29" s="5"/>
      <c r="D29" s="62" t="s">
        <v>69</v>
      </c>
      <c r="E29" s="62" t="s">
        <v>55</v>
      </c>
      <c r="F29" s="66" t="s">
        <v>8</v>
      </c>
    </row>
    <row r="30" spans="1:8" x14ac:dyDescent="0.25">
      <c r="A30" s="13" t="s">
        <v>42</v>
      </c>
      <c r="B30" s="54">
        <v>63184.05</v>
      </c>
      <c r="C30" s="5"/>
      <c r="D30" s="12" t="s">
        <v>37</v>
      </c>
      <c r="E30" s="54">
        <v>116135.07</v>
      </c>
      <c r="F30" s="14">
        <v>70</v>
      </c>
    </row>
    <row r="31" spans="1:8" x14ac:dyDescent="0.25">
      <c r="A31" s="13" t="s">
        <v>43</v>
      </c>
      <c r="B31" s="54">
        <v>41654.67</v>
      </c>
      <c r="C31" s="5"/>
      <c r="D31" s="12" t="s">
        <v>38</v>
      </c>
      <c r="E31" s="54">
        <v>104839.02</v>
      </c>
      <c r="F31" s="14">
        <v>69</v>
      </c>
    </row>
    <row r="32" spans="1:8" x14ac:dyDescent="0.25">
      <c r="A32" s="13" t="s">
        <v>44</v>
      </c>
      <c r="B32" s="54">
        <v>71169.11</v>
      </c>
      <c r="C32" s="5"/>
      <c r="D32" s="12" t="s">
        <v>11</v>
      </c>
      <c r="E32" s="54">
        <v>104735.62</v>
      </c>
      <c r="F32" s="14">
        <v>59</v>
      </c>
    </row>
    <row r="33" spans="1:8" x14ac:dyDescent="0.25">
      <c r="A33" s="13" t="s">
        <v>45</v>
      </c>
      <c r="B33" s="54">
        <v>67298.710000000006</v>
      </c>
      <c r="C33" s="5"/>
      <c r="D33" s="12" t="s">
        <v>16</v>
      </c>
      <c r="E33" s="54">
        <v>99516.43</v>
      </c>
      <c r="F33" s="14">
        <v>59</v>
      </c>
    </row>
    <row r="34" spans="1:8" x14ac:dyDescent="0.25">
      <c r="A34" s="13" t="s">
        <v>46</v>
      </c>
      <c r="B34" s="54">
        <v>69506.679999999993</v>
      </c>
      <c r="C34" s="5"/>
      <c r="D34" s="12" t="s">
        <v>31</v>
      </c>
      <c r="E34" s="54">
        <v>98215.88</v>
      </c>
      <c r="F34" s="14">
        <v>59</v>
      </c>
    </row>
    <row r="35" spans="1:8" x14ac:dyDescent="0.25">
      <c r="A35" s="13" t="s">
        <v>47</v>
      </c>
      <c r="B35" s="54">
        <v>98829.22</v>
      </c>
      <c r="C35" s="5"/>
      <c r="D35" s="12" t="s">
        <v>40</v>
      </c>
      <c r="E35" s="54">
        <v>96756.97</v>
      </c>
      <c r="F35" s="14">
        <v>60</v>
      </c>
    </row>
    <row r="36" spans="1:8" x14ac:dyDescent="0.25">
      <c r="A36" s="13" t="s">
        <v>48</v>
      </c>
      <c r="B36" s="54">
        <v>60675.03</v>
      </c>
      <c r="C36" s="5"/>
      <c r="D36" s="12" t="s">
        <v>36</v>
      </c>
      <c r="E36" s="54">
        <v>89158.26</v>
      </c>
      <c r="F36" s="14">
        <v>58</v>
      </c>
      <c r="H36" s="10"/>
    </row>
    <row r="37" spans="1:8" x14ac:dyDescent="0.25">
      <c r="A37" s="13" t="s">
        <v>49</v>
      </c>
      <c r="B37" s="54">
        <v>83296.77</v>
      </c>
      <c r="C37" s="5"/>
      <c r="D37" s="12" t="s">
        <v>26</v>
      </c>
      <c r="E37" s="54">
        <v>83831.25</v>
      </c>
      <c r="F37" s="14">
        <v>66</v>
      </c>
    </row>
    <row r="38" spans="1:8" x14ac:dyDescent="0.25">
      <c r="A38" s="13" t="s">
        <v>50</v>
      </c>
      <c r="B38" s="54">
        <v>54373.64</v>
      </c>
      <c r="C38" s="5"/>
      <c r="D38" s="12" t="s">
        <v>54</v>
      </c>
      <c r="E38" s="54">
        <v>793188.5</v>
      </c>
      <c r="F38" s="14">
        <v>500</v>
      </c>
    </row>
    <row r="39" spans="1:8" x14ac:dyDescent="0.25">
      <c r="A39" s="13" t="s">
        <v>51</v>
      </c>
      <c r="B39" s="54">
        <v>53388.29</v>
      </c>
      <c r="C39" s="5"/>
      <c r="D39" s="5"/>
      <c r="E39" s="5"/>
      <c r="F39" s="6"/>
    </row>
    <row r="40" spans="1:8" x14ac:dyDescent="0.25">
      <c r="A40" s="13" t="s">
        <v>52</v>
      </c>
      <c r="B40" s="54">
        <v>67251.710000000006</v>
      </c>
      <c r="C40" s="5"/>
      <c r="D40" s="5"/>
      <c r="E40" s="5"/>
      <c r="F40" s="6"/>
    </row>
    <row r="41" spans="1:8" x14ac:dyDescent="0.25">
      <c r="A41" s="13" t="s">
        <v>53</v>
      </c>
      <c r="B41" s="54">
        <v>62560.62</v>
      </c>
      <c r="C41" s="5"/>
      <c r="D41" s="5"/>
      <c r="E41" s="5"/>
      <c r="F41" s="6"/>
    </row>
    <row r="42" spans="1:8" ht="15.75" thickBot="1" x14ac:dyDescent="0.3">
      <c r="A42" s="67" t="s">
        <v>54</v>
      </c>
      <c r="B42" s="68">
        <v>793188.5</v>
      </c>
      <c r="C42" s="8"/>
      <c r="D42" s="8"/>
      <c r="E42" s="8"/>
      <c r="F42" s="9"/>
    </row>
  </sheetData>
  <mergeCells count="8">
    <mergeCell ref="E20:F20"/>
    <mergeCell ref="E8:F8"/>
    <mergeCell ref="D28:F28"/>
    <mergeCell ref="A28:B28"/>
    <mergeCell ref="A1:F2"/>
    <mergeCell ref="A4:F4"/>
    <mergeCell ref="A8:B8"/>
    <mergeCell ref="A20:B20"/>
  </mergeCells>
  <pageMargins left="0.7" right="0.7" top="0.75" bottom="0.75" header="0.3" footer="0.3"/>
  <pageSetup orientation="portrait"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6F453-C6C8-4C31-B727-8EA2E5CF5A9F}">
  <dimension ref="A1:Y48"/>
  <sheetViews>
    <sheetView zoomScale="47" zoomScaleNormal="115" workbookViewId="0">
      <selection activeCell="AI7" sqref="AI7"/>
    </sheetView>
  </sheetViews>
  <sheetFormatPr defaultRowHeight="15" x14ac:dyDescent="0.25"/>
  <sheetData>
    <row r="1" spans="1:25" x14ac:dyDescent="0.25">
      <c r="A1" s="11"/>
      <c r="B1" s="11"/>
      <c r="C1" s="11"/>
      <c r="D1" s="11"/>
      <c r="E1" s="11"/>
      <c r="F1" s="11"/>
      <c r="G1" s="11"/>
      <c r="H1" s="11"/>
      <c r="I1" s="11"/>
      <c r="J1" s="11"/>
      <c r="K1" s="11"/>
      <c r="L1" s="11"/>
      <c r="M1" s="11"/>
      <c r="N1" s="11"/>
      <c r="O1" s="11"/>
      <c r="P1" s="11"/>
      <c r="Q1" s="11"/>
      <c r="R1" s="11"/>
      <c r="S1" s="11"/>
      <c r="T1" s="11"/>
      <c r="U1" s="11"/>
      <c r="V1" s="11"/>
      <c r="W1" s="11"/>
      <c r="X1" s="11"/>
      <c r="Y1" s="11"/>
    </row>
    <row r="2" spans="1:25" x14ac:dyDescent="0.25">
      <c r="A2" s="11"/>
      <c r="B2" s="11"/>
      <c r="C2" s="11"/>
      <c r="D2" s="11"/>
      <c r="E2" s="11"/>
      <c r="F2" s="11"/>
      <c r="G2" s="11"/>
      <c r="H2" s="11"/>
      <c r="I2" s="11"/>
      <c r="J2" s="11"/>
      <c r="K2" s="11"/>
      <c r="L2" s="11"/>
      <c r="M2" s="11"/>
      <c r="N2" s="11"/>
      <c r="O2" s="11"/>
      <c r="P2" s="11"/>
      <c r="Q2" s="11"/>
      <c r="R2" s="11"/>
      <c r="S2" s="11"/>
      <c r="T2" s="11"/>
      <c r="U2" s="11"/>
      <c r="V2" s="11"/>
      <c r="W2" s="11"/>
      <c r="X2" s="11"/>
      <c r="Y2" s="11"/>
    </row>
    <row r="3" spans="1:25" x14ac:dyDescent="0.25">
      <c r="A3" s="11"/>
      <c r="B3" s="11"/>
      <c r="C3" s="11"/>
      <c r="D3" s="11"/>
      <c r="E3" s="11"/>
      <c r="F3" s="11"/>
      <c r="G3" s="11"/>
      <c r="H3" s="11"/>
      <c r="I3" s="11"/>
      <c r="J3" s="11"/>
      <c r="K3" s="11"/>
      <c r="L3" s="11"/>
      <c r="M3" s="11"/>
      <c r="N3" s="11"/>
      <c r="O3" s="11"/>
      <c r="P3" s="11"/>
      <c r="Q3" s="11"/>
      <c r="R3" s="11"/>
      <c r="S3" s="34"/>
      <c r="T3" s="11"/>
      <c r="U3" s="11"/>
      <c r="V3" s="11"/>
      <c r="W3" s="11"/>
      <c r="X3" s="11"/>
      <c r="Y3" s="11"/>
    </row>
    <row r="4" spans="1:25" x14ac:dyDescent="0.25">
      <c r="A4" s="11"/>
      <c r="B4" s="11"/>
      <c r="C4" s="11"/>
      <c r="D4" s="11"/>
      <c r="E4" s="11"/>
      <c r="F4" s="11"/>
      <c r="G4" s="11"/>
      <c r="H4" s="11"/>
      <c r="I4" s="11"/>
      <c r="J4" s="11"/>
      <c r="K4" s="11"/>
      <c r="L4" s="11"/>
      <c r="M4" s="11"/>
      <c r="N4" s="11"/>
      <c r="O4" s="11"/>
      <c r="P4" s="11"/>
      <c r="Q4" s="11"/>
      <c r="R4" s="11"/>
      <c r="S4" s="11"/>
      <c r="T4" s="11"/>
      <c r="U4" s="11"/>
      <c r="V4" s="11"/>
      <c r="W4" s="11"/>
      <c r="X4" s="11"/>
      <c r="Y4" s="11"/>
    </row>
    <row r="5" spans="1:25" x14ac:dyDescent="0.25">
      <c r="A5" s="11"/>
      <c r="B5" s="11"/>
      <c r="C5" s="11"/>
      <c r="D5" s="11"/>
      <c r="E5" s="11"/>
      <c r="F5" s="11"/>
      <c r="G5" s="11"/>
      <c r="H5" s="11"/>
      <c r="I5" s="11"/>
      <c r="J5" s="11"/>
      <c r="K5" s="11"/>
      <c r="L5" s="11"/>
      <c r="M5" s="11"/>
      <c r="N5" s="11"/>
      <c r="O5" s="11"/>
      <c r="P5" s="11"/>
      <c r="Q5" s="11"/>
      <c r="R5" s="11"/>
      <c r="S5" s="11"/>
      <c r="T5" s="11"/>
      <c r="U5" s="11"/>
      <c r="V5" s="11"/>
      <c r="W5" s="11"/>
      <c r="X5" s="11"/>
      <c r="Y5" s="11"/>
    </row>
    <row r="6" spans="1:25" x14ac:dyDescent="0.25">
      <c r="A6" s="11"/>
      <c r="B6" s="11"/>
      <c r="C6" s="11"/>
      <c r="D6" s="11"/>
      <c r="E6" s="11"/>
      <c r="F6" s="11"/>
      <c r="G6" s="11"/>
      <c r="H6" s="11"/>
      <c r="I6" s="11"/>
      <c r="J6" s="11"/>
      <c r="K6" s="11"/>
      <c r="L6" s="11"/>
      <c r="M6" s="11"/>
      <c r="N6" s="11"/>
      <c r="O6" s="11"/>
      <c r="P6" s="11"/>
      <c r="Q6" s="11"/>
      <c r="R6" s="11"/>
      <c r="S6" s="11"/>
      <c r="T6" s="11"/>
      <c r="U6" s="11"/>
      <c r="V6" s="11"/>
      <c r="W6" s="11"/>
      <c r="X6" s="11"/>
      <c r="Y6" s="11"/>
    </row>
    <row r="7" spans="1:25" x14ac:dyDescent="0.25">
      <c r="A7" s="11"/>
      <c r="B7" s="11"/>
      <c r="C7" s="11"/>
      <c r="D7" s="11"/>
      <c r="E7" s="11"/>
      <c r="F7" s="11"/>
      <c r="G7" s="11"/>
      <c r="H7" s="11"/>
      <c r="I7" s="11"/>
      <c r="J7" s="11"/>
      <c r="K7" s="11"/>
      <c r="L7" s="11"/>
      <c r="M7" s="11"/>
      <c r="N7" s="11"/>
      <c r="O7" s="11"/>
      <c r="P7" s="11"/>
      <c r="Q7" s="11"/>
      <c r="R7" s="11"/>
      <c r="S7" s="11"/>
      <c r="T7" s="11"/>
      <c r="U7" s="11"/>
      <c r="V7" s="11"/>
      <c r="W7" s="11"/>
      <c r="X7" s="11"/>
      <c r="Y7" s="11"/>
    </row>
    <row r="8" spans="1:25" x14ac:dyDescent="0.25">
      <c r="A8" s="11"/>
      <c r="B8" s="11"/>
      <c r="C8" s="11"/>
      <c r="D8" s="11"/>
      <c r="E8" s="11"/>
      <c r="F8" s="11"/>
      <c r="G8" s="11"/>
      <c r="H8" s="11"/>
      <c r="I8" s="11"/>
      <c r="J8" s="11"/>
      <c r="K8" s="11"/>
      <c r="L8" s="11"/>
      <c r="M8" s="11"/>
      <c r="N8" s="11"/>
      <c r="O8" s="11"/>
      <c r="P8" s="11"/>
      <c r="Q8" s="11"/>
      <c r="R8" s="11"/>
      <c r="S8" s="11"/>
      <c r="T8" s="11"/>
      <c r="U8" s="11"/>
      <c r="V8" s="11"/>
      <c r="W8" s="11"/>
      <c r="X8" s="11"/>
      <c r="Y8" s="11"/>
    </row>
    <row r="9" spans="1:25" x14ac:dyDescent="0.25">
      <c r="A9" s="11"/>
      <c r="B9" s="11"/>
      <c r="C9" s="11"/>
      <c r="D9" s="11"/>
      <c r="E9" s="11"/>
      <c r="F9" s="11"/>
      <c r="G9" s="11"/>
      <c r="H9" s="11"/>
      <c r="I9" s="11"/>
      <c r="J9" s="11"/>
      <c r="K9" s="11"/>
      <c r="L9" s="11"/>
      <c r="M9" s="11"/>
      <c r="N9" s="11"/>
      <c r="O9" s="11"/>
      <c r="P9" s="11"/>
      <c r="Q9" s="11"/>
      <c r="R9" s="11"/>
      <c r="S9" s="11"/>
      <c r="T9" s="11"/>
      <c r="U9" s="11"/>
      <c r="V9" s="11"/>
      <c r="W9" s="11"/>
      <c r="X9" s="11"/>
      <c r="Y9" s="11"/>
    </row>
    <row r="10" spans="1:25" x14ac:dyDescent="0.25">
      <c r="A10" s="11"/>
      <c r="B10" s="11"/>
      <c r="C10" s="11"/>
      <c r="D10" s="11"/>
      <c r="E10" s="11"/>
      <c r="F10" s="11"/>
      <c r="G10" s="11"/>
      <c r="H10" s="11"/>
      <c r="I10" s="11"/>
      <c r="J10" s="11"/>
      <c r="K10" s="11"/>
      <c r="L10" s="11"/>
      <c r="M10" s="11"/>
      <c r="N10" s="11"/>
      <c r="O10" s="11"/>
      <c r="P10" s="11"/>
      <c r="Q10" s="11"/>
      <c r="R10" s="11"/>
      <c r="S10" s="11" t="s">
        <v>70</v>
      </c>
      <c r="T10" s="11"/>
      <c r="U10" s="11"/>
      <c r="V10" s="11"/>
      <c r="W10" s="11"/>
      <c r="X10" s="11"/>
      <c r="Y10" s="11"/>
    </row>
    <row r="11" spans="1:25" x14ac:dyDescent="0.25">
      <c r="A11" s="11"/>
      <c r="B11" s="11"/>
      <c r="C11" s="11"/>
      <c r="D11" s="11"/>
      <c r="E11" s="11"/>
      <c r="F11" s="11"/>
      <c r="G11" s="11"/>
      <c r="H11" s="11"/>
      <c r="I11" s="11"/>
      <c r="J11" s="11"/>
      <c r="K11" s="11"/>
      <c r="L11" s="11"/>
      <c r="M11" s="11"/>
      <c r="N11" s="11"/>
      <c r="O11" s="11"/>
      <c r="P11" s="11"/>
      <c r="Q11" s="11"/>
      <c r="R11" s="11"/>
      <c r="S11" s="11"/>
      <c r="T11" s="11"/>
      <c r="U11" s="11"/>
      <c r="V11" s="11"/>
      <c r="W11" s="11"/>
      <c r="X11" s="11"/>
      <c r="Y11" s="11"/>
    </row>
    <row r="12" spans="1:25" x14ac:dyDescent="0.25">
      <c r="A12" s="11"/>
      <c r="B12" s="11"/>
      <c r="C12" s="11"/>
      <c r="D12" s="11"/>
      <c r="E12" s="11"/>
      <c r="F12" s="11"/>
      <c r="G12" s="11"/>
      <c r="H12" s="11"/>
      <c r="I12" s="11"/>
      <c r="J12" s="11"/>
      <c r="K12" s="11"/>
      <c r="L12" s="11"/>
      <c r="M12" s="11"/>
      <c r="N12" s="11"/>
      <c r="O12" s="11"/>
      <c r="P12" s="11"/>
      <c r="Q12" s="11"/>
      <c r="R12" s="11"/>
      <c r="S12" s="11"/>
      <c r="T12" s="11"/>
      <c r="U12" s="11"/>
      <c r="V12" s="11"/>
      <c r="W12" s="11"/>
      <c r="X12" s="11"/>
      <c r="Y12" s="11"/>
    </row>
    <row r="13" spans="1:25" x14ac:dyDescent="0.25">
      <c r="A13" s="11"/>
      <c r="B13" s="11"/>
      <c r="C13" s="11"/>
      <c r="D13" s="11"/>
      <c r="E13" s="11"/>
      <c r="F13" s="11"/>
      <c r="G13" s="11"/>
      <c r="H13" s="11"/>
      <c r="I13" s="11"/>
      <c r="J13" s="11"/>
      <c r="K13" s="11"/>
      <c r="L13" s="11"/>
      <c r="M13" s="11"/>
      <c r="N13" s="11"/>
      <c r="O13" s="11"/>
      <c r="P13" s="11"/>
      <c r="Q13" s="11"/>
      <c r="R13" s="11"/>
      <c r="S13" s="11"/>
      <c r="T13" s="11"/>
      <c r="U13" s="11"/>
      <c r="V13" s="11"/>
      <c r="W13" s="11"/>
      <c r="X13" s="11"/>
      <c r="Y13" s="11"/>
    </row>
    <row r="14" spans="1:25" x14ac:dyDescent="0.25">
      <c r="A14" s="11"/>
      <c r="B14" s="11"/>
      <c r="C14" s="11"/>
      <c r="D14" s="11"/>
      <c r="E14" s="11"/>
      <c r="F14" s="11"/>
      <c r="G14" s="11"/>
      <c r="H14" s="11"/>
      <c r="I14" s="11"/>
      <c r="J14" s="11"/>
      <c r="K14" s="11"/>
      <c r="L14" s="11"/>
      <c r="M14" s="11"/>
      <c r="N14" s="11"/>
      <c r="O14" s="11"/>
      <c r="P14" s="11"/>
      <c r="Q14" s="11"/>
      <c r="R14" s="11"/>
      <c r="S14" s="11"/>
      <c r="T14" s="11"/>
      <c r="U14" s="11"/>
      <c r="V14" s="11"/>
      <c r="W14" s="11"/>
      <c r="X14" s="11"/>
      <c r="Y14" s="11"/>
    </row>
    <row r="15" spans="1:25" x14ac:dyDescent="0.25">
      <c r="A15" s="11"/>
      <c r="B15" s="11"/>
      <c r="C15" s="11"/>
      <c r="D15" s="11"/>
      <c r="E15" s="11"/>
      <c r="F15" s="11"/>
      <c r="G15" s="11"/>
      <c r="H15" s="11"/>
      <c r="I15" s="11"/>
      <c r="J15" s="11"/>
      <c r="K15" s="11"/>
      <c r="L15" s="11"/>
      <c r="M15" s="11"/>
      <c r="N15" s="11"/>
      <c r="O15" s="11"/>
      <c r="P15" s="11"/>
      <c r="Q15" s="11"/>
      <c r="R15" s="11"/>
      <c r="S15" s="11"/>
      <c r="T15" s="11"/>
      <c r="U15" s="11"/>
      <c r="V15" s="11"/>
      <c r="W15" s="11"/>
      <c r="X15" s="11"/>
      <c r="Y15" s="11"/>
    </row>
    <row r="16" spans="1:25" x14ac:dyDescent="0.25">
      <c r="A16" s="11"/>
      <c r="B16" s="11"/>
      <c r="C16" s="11"/>
      <c r="D16" s="11"/>
      <c r="E16" s="11"/>
      <c r="F16" s="11"/>
      <c r="G16" s="11"/>
      <c r="H16" s="11"/>
      <c r="I16" s="11"/>
      <c r="J16" s="11"/>
      <c r="K16" s="11"/>
      <c r="L16" s="11"/>
      <c r="M16" s="11"/>
      <c r="N16" s="11"/>
      <c r="O16" s="11"/>
      <c r="P16" s="11"/>
      <c r="Q16" s="11"/>
      <c r="R16" s="11"/>
      <c r="S16" s="11"/>
      <c r="T16" s="11"/>
      <c r="U16" s="11"/>
      <c r="V16" s="11"/>
      <c r="W16" s="11"/>
      <c r="X16" s="11"/>
      <c r="Y16" s="11"/>
    </row>
    <row r="17" spans="1:25" x14ac:dyDescent="0.25">
      <c r="A17" s="11"/>
      <c r="B17" s="11"/>
      <c r="C17" s="11"/>
      <c r="D17" s="11"/>
      <c r="E17" s="11"/>
      <c r="F17" s="11"/>
      <c r="G17" s="11"/>
      <c r="H17" s="11"/>
      <c r="I17" s="11"/>
      <c r="J17" s="11"/>
      <c r="K17" s="11"/>
      <c r="L17" s="11"/>
      <c r="M17" s="11"/>
      <c r="N17" s="11"/>
      <c r="O17" s="11"/>
      <c r="P17" s="11"/>
      <c r="Q17" s="11"/>
      <c r="R17" s="11"/>
      <c r="S17" s="11"/>
      <c r="T17" s="11"/>
      <c r="U17" s="11"/>
      <c r="V17" s="11"/>
      <c r="W17" s="11"/>
      <c r="X17" s="11"/>
      <c r="Y17" s="11"/>
    </row>
    <row r="18" spans="1:25" x14ac:dyDescent="0.25">
      <c r="A18" s="11"/>
      <c r="B18" s="11"/>
      <c r="C18" s="11"/>
      <c r="D18" s="11"/>
      <c r="E18" s="11"/>
      <c r="F18" s="11"/>
      <c r="G18" s="11"/>
      <c r="H18" s="11"/>
      <c r="I18" s="11"/>
      <c r="J18" s="11"/>
      <c r="K18" s="11"/>
      <c r="L18" s="11"/>
      <c r="M18" s="11"/>
      <c r="N18" s="11"/>
      <c r="O18" s="11"/>
      <c r="P18" s="11"/>
      <c r="Q18" s="11"/>
      <c r="R18" s="11"/>
      <c r="S18" s="11"/>
      <c r="T18" s="11"/>
      <c r="U18" s="11"/>
      <c r="V18" s="11"/>
      <c r="W18" s="11"/>
      <c r="X18" s="11"/>
      <c r="Y18" s="11"/>
    </row>
    <row r="19" spans="1:25" x14ac:dyDescent="0.25">
      <c r="A19" s="11"/>
      <c r="B19" s="11"/>
      <c r="C19" s="11"/>
      <c r="D19" s="11"/>
      <c r="E19" s="11"/>
      <c r="F19" s="11"/>
      <c r="G19" s="11"/>
      <c r="H19" s="11"/>
      <c r="I19" s="11"/>
      <c r="J19" s="11"/>
      <c r="K19" s="11"/>
      <c r="L19" s="11"/>
      <c r="M19" s="11"/>
      <c r="N19" s="11"/>
      <c r="O19" s="11"/>
      <c r="P19" s="11"/>
      <c r="Q19" s="11"/>
      <c r="R19" s="11"/>
      <c r="S19" s="11"/>
      <c r="T19" s="11"/>
      <c r="U19" s="11"/>
      <c r="V19" s="11"/>
      <c r="W19" s="11"/>
      <c r="X19" s="11"/>
      <c r="Y19" s="11"/>
    </row>
    <row r="20" spans="1:25" x14ac:dyDescent="0.25">
      <c r="A20" s="11"/>
      <c r="B20" s="11"/>
      <c r="C20" s="11"/>
      <c r="D20" s="11"/>
      <c r="E20" s="11"/>
      <c r="F20" s="11"/>
      <c r="G20" s="11"/>
      <c r="H20" s="11"/>
      <c r="I20" s="11"/>
      <c r="J20" s="11"/>
      <c r="K20" s="11"/>
      <c r="L20" s="11"/>
      <c r="M20" s="11"/>
      <c r="N20" s="11"/>
      <c r="O20" s="11"/>
      <c r="P20" s="11"/>
      <c r="Q20" s="11"/>
      <c r="R20" s="11"/>
      <c r="S20" s="11"/>
      <c r="T20" s="11"/>
      <c r="U20" s="11"/>
      <c r="V20" s="11"/>
      <c r="W20" s="11"/>
      <c r="X20" s="11"/>
      <c r="Y20" s="11"/>
    </row>
    <row r="21" spans="1:25" x14ac:dyDescent="0.25">
      <c r="A21" s="11"/>
      <c r="B21" s="11"/>
      <c r="C21" s="11"/>
      <c r="D21" s="11"/>
      <c r="E21" s="11"/>
      <c r="F21" s="11"/>
      <c r="G21" s="11"/>
      <c r="H21" s="11"/>
      <c r="I21" s="11"/>
      <c r="J21" s="11"/>
      <c r="K21" s="11"/>
      <c r="L21" s="11"/>
      <c r="M21" s="11"/>
      <c r="N21" s="11"/>
      <c r="O21" s="11"/>
      <c r="P21" s="11"/>
      <c r="Q21" s="11"/>
      <c r="R21" s="11"/>
      <c r="S21" s="11"/>
      <c r="T21" s="11"/>
      <c r="U21" s="11"/>
      <c r="V21" s="11"/>
      <c r="W21" s="11"/>
      <c r="X21" s="11"/>
      <c r="Y21" s="11"/>
    </row>
    <row r="22" spans="1:25" x14ac:dyDescent="0.25">
      <c r="A22" s="11"/>
      <c r="B22" s="11"/>
      <c r="C22" s="11"/>
      <c r="D22" s="11"/>
      <c r="E22" s="11"/>
      <c r="F22" s="11"/>
      <c r="G22" s="11"/>
      <c r="H22" s="11"/>
      <c r="I22" s="11"/>
      <c r="J22" s="11"/>
      <c r="K22" s="11"/>
      <c r="L22" s="11"/>
      <c r="M22" s="11"/>
      <c r="N22" s="11"/>
      <c r="O22" s="11"/>
      <c r="P22" s="11"/>
      <c r="Q22" s="11"/>
      <c r="R22" s="11"/>
      <c r="S22" s="11"/>
      <c r="T22" s="11"/>
      <c r="U22" s="11"/>
      <c r="V22" s="11"/>
      <c r="W22" s="11"/>
      <c r="X22" s="11"/>
      <c r="Y22" s="11"/>
    </row>
    <row r="23" spans="1:25" x14ac:dyDescent="0.25">
      <c r="A23" s="11"/>
      <c r="B23" s="11"/>
      <c r="C23" s="11"/>
      <c r="D23" s="11"/>
      <c r="E23" s="11"/>
      <c r="F23" s="11"/>
      <c r="G23" s="11"/>
      <c r="H23" s="11"/>
      <c r="I23" s="11"/>
      <c r="J23" s="11"/>
      <c r="K23" s="11"/>
      <c r="L23" s="11"/>
      <c r="M23" s="11"/>
      <c r="N23" s="11"/>
      <c r="O23" s="11"/>
      <c r="P23" s="11"/>
      <c r="Q23" s="11"/>
      <c r="R23" s="11"/>
      <c r="S23" s="11"/>
      <c r="T23" s="11"/>
      <c r="U23" s="11"/>
      <c r="V23" s="11"/>
      <c r="W23" s="11"/>
      <c r="X23" s="11"/>
      <c r="Y23" s="11"/>
    </row>
    <row r="24" spans="1:25" x14ac:dyDescent="0.25">
      <c r="A24" s="11"/>
      <c r="B24" s="11"/>
      <c r="C24" s="11"/>
      <c r="D24" s="11"/>
      <c r="E24" s="11"/>
      <c r="F24" s="11"/>
      <c r="G24" s="11"/>
      <c r="H24" s="11"/>
      <c r="I24" s="11"/>
      <c r="J24" s="11"/>
      <c r="K24" s="11"/>
      <c r="L24" s="11"/>
      <c r="M24" s="11"/>
      <c r="N24" s="11"/>
      <c r="O24" s="11"/>
      <c r="P24" s="11"/>
      <c r="Q24" s="11"/>
      <c r="R24" s="11"/>
      <c r="S24" s="11"/>
      <c r="T24" s="11"/>
      <c r="U24" s="11"/>
      <c r="V24" s="11"/>
      <c r="W24" s="11"/>
      <c r="X24" s="11"/>
      <c r="Y24" s="11"/>
    </row>
    <row r="25" spans="1:25" x14ac:dyDescent="0.25">
      <c r="A25" s="11"/>
      <c r="B25" s="11"/>
      <c r="C25" s="11"/>
      <c r="D25" s="11"/>
      <c r="E25" s="11"/>
      <c r="F25" s="11"/>
      <c r="G25" s="11"/>
      <c r="H25" s="11"/>
      <c r="I25" s="11"/>
      <c r="J25" s="11"/>
      <c r="K25" s="11"/>
      <c r="L25" s="11"/>
      <c r="M25" s="11"/>
      <c r="N25" s="11"/>
      <c r="O25" s="11"/>
      <c r="P25" s="11"/>
      <c r="Q25" s="11"/>
      <c r="R25" s="11"/>
      <c r="S25" s="11"/>
      <c r="T25" s="11"/>
      <c r="U25" s="11"/>
      <c r="V25" s="11"/>
      <c r="W25" s="11"/>
      <c r="X25" s="11"/>
      <c r="Y25" s="11"/>
    </row>
    <row r="26" spans="1:25" x14ac:dyDescent="0.25">
      <c r="A26" s="11"/>
      <c r="B26" s="11"/>
      <c r="C26" s="11"/>
      <c r="D26" s="11"/>
      <c r="E26" s="11"/>
      <c r="F26" s="11"/>
      <c r="G26" s="11"/>
      <c r="H26" s="11"/>
      <c r="I26" s="11"/>
      <c r="J26" s="11"/>
      <c r="K26" s="11"/>
      <c r="L26" s="11"/>
      <c r="M26" s="11"/>
      <c r="N26" s="11"/>
      <c r="O26" s="11"/>
      <c r="P26" s="11"/>
      <c r="Q26" s="11"/>
      <c r="R26" s="11"/>
      <c r="S26" s="11"/>
      <c r="T26" s="11"/>
      <c r="U26" s="11"/>
      <c r="V26" s="11"/>
      <c r="W26" s="11"/>
      <c r="X26" s="11"/>
      <c r="Y26" s="11"/>
    </row>
    <row r="27" spans="1:25" x14ac:dyDescent="0.25">
      <c r="A27" s="11"/>
      <c r="B27" s="11"/>
      <c r="C27" s="11"/>
      <c r="D27" s="11"/>
      <c r="E27" s="11"/>
      <c r="F27" s="11"/>
      <c r="G27" s="11"/>
      <c r="H27" s="11"/>
      <c r="I27" s="11"/>
      <c r="J27" s="11"/>
      <c r="K27" s="11"/>
      <c r="L27" s="11"/>
      <c r="M27" s="11"/>
      <c r="N27" s="11"/>
      <c r="O27" s="11"/>
      <c r="P27" s="11"/>
      <c r="Q27" s="11"/>
      <c r="R27" s="11"/>
      <c r="S27" s="11"/>
      <c r="T27" s="11"/>
      <c r="U27" s="11"/>
      <c r="V27" s="11"/>
      <c r="W27" s="11"/>
      <c r="X27" s="11"/>
      <c r="Y27" s="11"/>
    </row>
    <row r="28" spans="1:25" x14ac:dyDescent="0.25">
      <c r="A28" s="11"/>
      <c r="B28" s="11"/>
      <c r="C28" s="11"/>
      <c r="D28" s="11"/>
      <c r="E28" s="11"/>
      <c r="F28" s="11"/>
      <c r="G28" s="11"/>
      <c r="H28" s="11"/>
      <c r="I28" s="11"/>
      <c r="J28" s="11"/>
      <c r="K28" s="11"/>
      <c r="L28" s="11"/>
      <c r="M28" s="11"/>
      <c r="N28" s="11"/>
      <c r="O28" s="11"/>
      <c r="P28" s="11"/>
      <c r="Q28" s="11"/>
      <c r="R28" s="11"/>
      <c r="S28" s="11"/>
      <c r="T28" s="11"/>
      <c r="U28" s="11"/>
      <c r="V28" s="11"/>
      <c r="W28" s="11"/>
      <c r="X28" s="11"/>
      <c r="Y28" s="11"/>
    </row>
    <row r="29" spans="1:25" x14ac:dyDescent="0.25">
      <c r="A29" s="11"/>
      <c r="B29" s="11"/>
      <c r="C29" s="11"/>
      <c r="D29" s="11"/>
      <c r="E29" s="11"/>
      <c r="F29" s="11"/>
      <c r="G29" s="11"/>
      <c r="H29" s="11"/>
      <c r="I29" s="11"/>
      <c r="J29" s="11"/>
      <c r="K29" s="11"/>
      <c r="L29" s="11"/>
      <c r="M29" s="11"/>
      <c r="N29" s="11"/>
      <c r="O29" s="11"/>
      <c r="P29" s="11"/>
      <c r="Q29" s="11"/>
      <c r="R29" s="11"/>
      <c r="S29" s="11"/>
      <c r="T29" s="11"/>
      <c r="U29" s="11"/>
      <c r="V29" s="11"/>
      <c r="W29" s="11"/>
      <c r="X29" s="11"/>
      <c r="Y29" s="11"/>
    </row>
    <row r="30" spans="1:25" x14ac:dyDescent="0.25">
      <c r="A30" s="11"/>
      <c r="B30" s="11"/>
      <c r="C30" s="11"/>
      <c r="D30" s="11"/>
      <c r="E30" s="11"/>
      <c r="F30" s="11"/>
      <c r="G30" s="11"/>
      <c r="H30" s="11"/>
      <c r="I30" s="11"/>
      <c r="J30" s="11"/>
      <c r="K30" s="11"/>
      <c r="L30" s="11"/>
      <c r="M30" s="11"/>
      <c r="N30" s="11"/>
      <c r="O30" s="11"/>
      <c r="P30" s="11"/>
      <c r="Q30" s="11"/>
      <c r="R30" s="11"/>
      <c r="S30" s="11"/>
      <c r="T30" s="11"/>
      <c r="U30" s="11"/>
      <c r="V30" s="11"/>
      <c r="W30" s="11"/>
      <c r="X30" s="11"/>
      <c r="Y30" s="11"/>
    </row>
    <row r="31" spans="1:25" x14ac:dyDescent="0.25">
      <c r="A31" s="11"/>
      <c r="B31" s="11"/>
      <c r="C31" s="11"/>
      <c r="D31" s="11"/>
      <c r="E31" s="11"/>
      <c r="F31" s="11"/>
      <c r="G31" s="11"/>
      <c r="H31" s="11"/>
      <c r="I31" s="11"/>
      <c r="J31" s="11"/>
      <c r="K31" s="11"/>
      <c r="L31" s="11"/>
      <c r="M31" s="11"/>
      <c r="N31" s="11"/>
      <c r="O31" s="11"/>
      <c r="P31" s="11"/>
      <c r="Q31" s="11"/>
      <c r="R31" s="11"/>
      <c r="S31" s="11"/>
      <c r="T31" s="11"/>
      <c r="U31" s="11"/>
      <c r="V31" s="11"/>
      <c r="W31" s="11"/>
      <c r="X31" s="11"/>
      <c r="Y31" s="11"/>
    </row>
    <row r="32" spans="1:25" x14ac:dyDescent="0.25">
      <c r="A32" s="11"/>
      <c r="B32" s="11"/>
      <c r="C32" s="11"/>
      <c r="D32" s="11"/>
      <c r="E32" s="11"/>
      <c r="F32" s="11"/>
      <c r="G32" s="11"/>
      <c r="H32" s="11"/>
      <c r="I32" s="11"/>
      <c r="J32" s="11"/>
      <c r="K32" s="11"/>
      <c r="L32" s="11"/>
      <c r="M32" s="11"/>
      <c r="N32" s="11"/>
      <c r="O32" s="11"/>
      <c r="P32" s="11"/>
      <c r="Q32" s="11"/>
      <c r="R32" s="11"/>
      <c r="S32" s="11"/>
      <c r="T32" s="11"/>
      <c r="U32" s="11"/>
      <c r="V32" s="11"/>
      <c r="W32" s="11"/>
      <c r="X32" s="11"/>
      <c r="Y32" s="11"/>
    </row>
    <row r="33" spans="1:25" x14ac:dyDescent="0.25">
      <c r="A33" s="11"/>
      <c r="B33" s="11"/>
      <c r="C33" s="11"/>
      <c r="D33" s="11"/>
      <c r="E33" s="11"/>
      <c r="F33" s="11"/>
      <c r="G33" s="11"/>
      <c r="H33" s="11"/>
      <c r="I33" s="11"/>
      <c r="J33" s="11"/>
      <c r="K33" s="11"/>
      <c r="L33" s="11"/>
      <c r="M33" s="11"/>
      <c r="N33" s="11"/>
      <c r="O33" s="11"/>
      <c r="P33" s="11"/>
      <c r="Q33" s="11"/>
      <c r="R33" s="11"/>
      <c r="S33" s="11"/>
      <c r="T33" s="11"/>
      <c r="U33" s="11"/>
      <c r="V33" s="11"/>
      <c r="W33" s="11"/>
      <c r="X33" s="11"/>
      <c r="Y33" s="11"/>
    </row>
    <row r="34" spans="1:25" x14ac:dyDescent="0.25">
      <c r="A34" s="11"/>
      <c r="B34" s="11"/>
      <c r="C34" s="11"/>
      <c r="D34" s="11"/>
      <c r="E34" s="11"/>
      <c r="F34" s="11"/>
      <c r="G34" s="11"/>
      <c r="H34" s="11"/>
      <c r="I34" s="11"/>
      <c r="J34" s="11"/>
      <c r="K34" s="11"/>
      <c r="L34" s="11"/>
      <c r="M34" s="11"/>
      <c r="N34" s="11"/>
      <c r="O34" s="11"/>
      <c r="P34" s="11"/>
      <c r="Q34" s="11"/>
      <c r="R34" s="11"/>
      <c r="S34" s="11"/>
      <c r="T34" s="11"/>
      <c r="U34" s="11"/>
      <c r="V34" s="11"/>
      <c r="W34" s="11"/>
      <c r="X34" s="11"/>
      <c r="Y34" s="11"/>
    </row>
    <row r="35" spans="1:25" x14ac:dyDescent="0.25">
      <c r="A35" s="11"/>
      <c r="B35" s="11"/>
      <c r="C35" s="11"/>
      <c r="D35" s="11"/>
      <c r="E35" s="11"/>
      <c r="F35" s="11"/>
      <c r="G35" s="11"/>
      <c r="H35" s="11"/>
      <c r="I35" s="11"/>
      <c r="J35" s="11"/>
      <c r="K35" s="11"/>
      <c r="L35" s="11"/>
      <c r="M35" s="11"/>
      <c r="N35" s="11"/>
      <c r="O35" s="11"/>
      <c r="P35" s="11"/>
      <c r="Q35" s="11"/>
      <c r="R35" s="11"/>
      <c r="S35" s="11"/>
      <c r="T35" s="11"/>
      <c r="U35" s="11"/>
      <c r="V35" s="11"/>
      <c r="W35" s="11"/>
      <c r="X35" s="11"/>
      <c r="Y35" s="11"/>
    </row>
    <row r="36" spans="1:25" x14ac:dyDescent="0.25">
      <c r="A36" s="11"/>
      <c r="B36" s="11"/>
      <c r="C36" s="11"/>
      <c r="D36" s="11"/>
      <c r="E36" s="11"/>
      <c r="F36" s="11"/>
      <c r="G36" s="11"/>
      <c r="H36" s="11"/>
      <c r="I36" s="11"/>
      <c r="J36" s="11"/>
      <c r="K36" s="11"/>
      <c r="L36" s="11"/>
      <c r="M36" s="11"/>
      <c r="N36" s="11"/>
      <c r="O36" s="11"/>
      <c r="P36" s="11"/>
      <c r="Q36" s="11"/>
      <c r="R36" s="11"/>
      <c r="S36" s="11"/>
      <c r="T36" s="11"/>
      <c r="U36" s="11"/>
      <c r="V36" s="11"/>
      <c r="W36" s="11"/>
      <c r="X36" s="11"/>
      <c r="Y36" s="11"/>
    </row>
    <row r="37" spans="1:25" x14ac:dyDescent="0.25">
      <c r="A37" s="11"/>
      <c r="B37" s="11"/>
      <c r="C37" s="11"/>
      <c r="D37" s="11"/>
      <c r="E37" s="11"/>
      <c r="F37" s="11"/>
      <c r="G37" s="11"/>
      <c r="H37" s="11"/>
      <c r="I37" s="11"/>
      <c r="J37" s="11"/>
      <c r="K37" s="11"/>
      <c r="L37" s="11"/>
      <c r="M37" s="11"/>
      <c r="N37" s="11"/>
      <c r="O37" s="11"/>
      <c r="P37" s="11"/>
      <c r="Q37" s="11"/>
      <c r="R37" s="11"/>
      <c r="S37" s="11"/>
      <c r="T37" s="11"/>
      <c r="U37" s="11"/>
      <c r="V37" s="11"/>
      <c r="W37" s="11"/>
      <c r="X37" s="11"/>
      <c r="Y37" s="11"/>
    </row>
    <row r="38" spans="1:25" x14ac:dyDescent="0.25">
      <c r="A38" s="11"/>
      <c r="B38" s="11"/>
      <c r="C38" s="11"/>
      <c r="D38" s="11"/>
      <c r="E38" s="11"/>
      <c r="F38" s="11"/>
      <c r="G38" s="11"/>
      <c r="H38" s="11"/>
      <c r="I38" s="11"/>
      <c r="J38" s="11"/>
      <c r="K38" s="11"/>
      <c r="L38" s="11"/>
      <c r="M38" s="11"/>
      <c r="N38" s="11"/>
      <c r="O38" s="11"/>
      <c r="P38" s="11"/>
      <c r="Q38" s="11"/>
      <c r="R38" s="11"/>
      <c r="S38" s="11"/>
      <c r="T38" s="11"/>
      <c r="U38" s="11"/>
      <c r="V38" s="11"/>
      <c r="W38" s="11"/>
      <c r="X38" s="11"/>
      <c r="Y38" s="11"/>
    </row>
    <row r="39" spans="1:25" x14ac:dyDescent="0.25">
      <c r="A39" s="11"/>
      <c r="B39" s="11"/>
      <c r="C39" s="11"/>
      <c r="D39" s="11"/>
      <c r="E39" s="11"/>
      <c r="F39" s="11"/>
      <c r="G39" s="11"/>
      <c r="H39" s="11"/>
      <c r="I39" s="11"/>
      <c r="J39" s="11"/>
      <c r="K39" s="11"/>
      <c r="L39" s="11"/>
      <c r="M39" s="11"/>
      <c r="N39" s="11"/>
      <c r="O39" s="11"/>
      <c r="P39" s="11"/>
      <c r="Q39" s="11"/>
      <c r="R39" s="11"/>
      <c r="S39" s="11"/>
      <c r="T39" s="11"/>
      <c r="U39" s="11"/>
      <c r="V39" s="11"/>
      <c r="W39" s="11"/>
      <c r="X39" s="11"/>
      <c r="Y39" s="11"/>
    </row>
    <row r="40" spans="1:25" x14ac:dyDescent="0.25">
      <c r="A40" s="11"/>
      <c r="B40" s="11"/>
      <c r="C40" s="11"/>
      <c r="D40" s="11"/>
      <c r="E40" s="11"/>
      <c r="F40" s="11"/>
      <c r="G40" s="11"/>
      <c r="H40" s="11"/>
      <c r="I40" s="11"/>
      <c r="J40" s="11"/>
      <c r="K40" s="11"/>
      <c r="L40" s="11"/>
      <c r="M40" s="11"/>
      <c r="N40" s="11"/>
      <c r="O40" s="11"/>
      <c r="P40" s="11"/>
      <c r="Q40" s="11"/>
      <c r="R40" s="11"/>
      <c r="S40" s="11"/>
      <c r="T40" s="11"/>
      <c r="U40" s="11"/>
      <c r="V40" s="11"/>
      <c r="W40" s="11"/>
      <c r="X40" s="11"/>
      <c r="Y40" s="11"/>
    </row>
    <row r="41" spans="1:25" x14ac:dyDescent="0.25">
      <c r="A41" s="11"/>
      <c r="B41" s="11"/>
      <c r="C41" s="11"/>
      <c r="D41" s="11"/>
      <c r="E41" s="11"/>
      <c r="F41" s="11"/>
      <c r="G41" s="11"/>
      <c r="H41" s="11"/>
      <c r="I41" s="11"/>
      <c r="J41" s="11"/>
      <c r="K41" s="11"/>
      <c r="L41" s="11"/>
      <c r="M41" s="11"/>
      <c r="N41" s="11"/>
      <c r="O41" s="11"/>
      <c r="P41" s="11"/>
      <c r="Q41" s="11"/>
      <c r="R41" s="11"/>
      <c r="S41" s="11"/>
      <c r="T41" s="11"/>
      <c r="U41" s="11"/>
      <c r="V41" s="11"/>
      <c r="W41" s="11"/>
      <c r="X41" s="11"/>
      <c r="Y41" s="11"/>
    </row>
    <row r="42" spans="1:25" x14ac:dyDescent="0.25">
      <c r="A42" s="11"/>
      <c r="B42" s="11"/>
      <c r="C42" s="11"/>
      <c r="D42" s="11"/>
      <c r="E42" s="11"/>
      <c r="F42" s="11"/>
      <c r="G42" s="11"/>
      <c r="H42" s="11"/>
      <c r="I42" s="11"/>
      <c r="J42" s="11"/>
      <c r="K42" s="11"/>
      <c r="L42" s="11"/>
      <c r="M42" s="11"/>
      <c r="N42" s="11"/>
      <c r="O42" s="11"/>
      <c r="P42" s="11"/>
      <c r="Q42" s="11"/>
      <c r="R42" s="11"/>
      <c r="S42" s="11"/>
      <c r="T42" s="11"/>
      <c r="U42" s="11"/>
      <c r="V42" s="11"/>
      <c r="W42" s="11"/>
      <c r="X42" s="11"/>
      <c r="Y42" s="11"/>
    </row>
    <row r="43" spans="1:25" x14ac:dyDescent="0.25">
      <c r="A43" s="11"/>
      <c r="B43" s="11"/>
      <c r="C43" s="11"/>
      <c r="D43" s="11"/>
      <c r="E43" s="11"/>
      <c r="F43" s="11"/>
      <c r="G43" s="11"/>
      <c r="H43" s="11"/>
      <c r="I43" s="11"/>
      <c r="J43" s="11"/>
      <c r="K43" s="11"/>
      <c r="L43" s="11"/>
      <c r="M43" s="11"/>
      <c r="N43" s="11"/>
      <c r="O43" s="11"/>
      <c r="P43" s="11"/>
      <c r="Q43" s="11"/>
      <c r="R43" s="11"/>
      <c r="S43" s="11"/>
      <c r="T43" s="11"/>
      <c r="U43" s="11"/>
      <c r="V43" s="11"/>
      <c r="W43" s="11"/>
      <c r="X43" s="11"/>
      <c r="Y43" s="11"/>
    </row>
    <row r="44" spans="1:25" x14ac:dyDescent="0.25">
      <c r="A44" s="11"/>
      <c r="B44" s="11"/>
      <c r="C44" s="11"/>
      <c r="D44" s="11"/>
      <c r="E44" s="11"/>
      <c r="F44" s="11"/>
      <c r="G44" s="11"/>
      <c r="H44" s="11"/>
      <c r="I44" s="11"/>
      <c r="J44" s="11"/>
      <c r="K44" s="11"/>
      <c r="L44" s="11"/>
      <c r="M44" s="11"/>
      <c r="N44" s="11"/>
      <c r="O44" s="11"/>
      <c r="P44" s="11"/>
      <c r="Q44" s="11"/>
      <c r="R44" s="11"/>
      <c r="S44" s="11"/>
      <c r="T44" s="11"/>
      <c r="U44" s="11"/>
      <c r="V44" s="11"/>
      <c r="W44" s="11"/>
      <c r="X44" s="11"/>
      <c r="Y44" s="11"/>
    </row>
    <row r="45" spans="1:25" x14ac:dyDescent="0.25">
      <c r="A45" s="11"/>
      <c r="B45" s="11"/>
      <c r="C45" s="11"/>
      <c r="D45" s="11"/>
      <c r="E45" s="11"/>
      <c r="F45" s="11"/>
      <c r="G45" s="11"/>
      <c r="H45" s="11"/>
      <c r="I45" s="11"/>
      <c r="J45" s="11"/>
      <c r="K45" s="11"/>
      <c r="L45" s="11"/>
      <c r="M45" s="11"/>
      <c r="N45" s="11"/>
      <c r="O45" s="11"/>
      <c r="P45" s="11"/>
      <c r="Q45" s="11"/>
      <c r="R45" s="11"/>
      <c r="S45" s="11"/>
      <c r="T45" s="11"/>
      <c r="U45" s="11"/>
      <c r="V45" s="11"/>
      <c r="W45" s="11"/>
      <c r="X45" s="11"/>
      <c r="Y45" s="11"/>
    </row>
    <row r="46" spans="1:25" x14ac:dyDescent="0.25">
      <c r="A46" s="11"/>
      <c r="B46" s="11"/>
      <c r="C46" s="11"/>
      <c r="D46" s="11"/>
      <c r="E46" s="11"/>
      <c r="F46" s="11"/>
      <c r="G46" s="11"/>
      <c r="H46" s="11"/>
      <c r="I46" s="11"/>
      <c r="J46" s="11"/>
      <c r="K46" s="11"/>
      <c r="L46" s="11"/>
      <c r="M46" s="11"/>
      <c r="N46" s="11"/>
      <c r="O46" s="11"/>
      <c r="P46" s="11"/>
      <c r="Q46" s="11"/>
      <c r="R46" s="11"/>
      <c r="S46" s="11"/>
      <c r="T46" s="11"/>
      <c r="U46" s="11"/>
      <c r="V46" s="11"/>
      <c r="W46" s="11"/>
      <c r="X46" s="11"/>
      <c r="Y46" s="11"/>
    </row>
    <row r="47" spans="1:25" x14ac:dyDescent="0.25">
      <c r="A47" s="11"/>
      <c r="B47" s="11"/>
      <c r="C47" s="11"/>
      <c r="D47" s="11"/>
      <c r="E47" s="11"/>
      <c r="F47" s="11"/>
      <c r="G47" s="11"/>
      <c r="H47" s="11"/>
      <c r="I47" s="11"/>
      <c r="J47" s="11"/>
      <c r="K47" s="11"/>
      <c r="L47" s="11"/>
      <c r="M47" s="11"/>
      <c r="N47" s="11"/>
      <c r="O47" s="11"/>
      <c r="P47" s="11"/>
      <c r="Q47" s="11"/>
      <c r="R47" s="11"/>
      <c r="S47" s="11"/>
      <c r="T47" s="11"/>
      <c r="U47" s="11"/>
      <c r="V47" s="11"/>
      <c r="W47" s="11"/>
      <c r="X47" s="11"/>
      <c r="Y47" s="11"/>
    </row>
    <row r="48" spans="1:25" x14ac:dyDescent="0.25">
      <c r="A48" s="11"/>
      <c r="B48" s="11"/>
      <c r="C48" s="11"/>
      <c r="D48" s="11"/>
      <c r="E48" s="11"/>
      <c r="F48" s="11"/>
      <c r="G48" s="11"/>
      <c r="H48" s="11"/>
      <c r="I48" s="11"/>
      <c r="J48" s="11"/>
      <c r="K48" s="11"/>
      <c r="L48" s="11"/>
      <c r="M48" s="11"/>
      <c r="N48" s="11"/>
      <c r="O48" s="11"/>
      <c r="P48" s="11"/>
      <c r="Q48" s="11"/>
      <c r="R48" s="11"/>
      <c r="S48" s="11"/>
      <c r="T48" s="11"/>
      <c r="U48" s="11"/>
      <c r="V48" s="11"/>
      <c r="W48" s="11"/>
      <c r="X48" s="11"/>
      <c r="Y48" s="11"/>
    </row>
  </sheetData>
  <sheetProtection algorithmName="SHA-512" hashValue="HfYjFjbq6G7Cq1g8migM0k/cfNfol0KNxwsXdqegrNpPfQNwaZ4N8OBaznxvRfQJE8KgODPKKGrIgPHEkgfmSA==" saltValue="iSj28B2aro6KnMabQcQIdQ==" spinCount="100000" sheet="1" objects="1" scenarios="1"/>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
</file>

<file path=customXml/item3.xml>��
</file>

<file path=customXml/item4.xml>��
</file>

<file path=customXml/item5.xml>��
</file>

<file path=customXml/itemProps1.xml><?xml version="1.0" encoding="utf-8"?>
<ds:datastoreItem xmlns:ds="http://schemas.openxmlformats.org/officeDocument/2006/customXml" ds:itemID="{77A53C6B-6D57-4E5F-ABC6-58BBECAC3EB9}">
  <ds:schemaRefs/>
</ds:datastoreItem>
</file>

<file path=customXml/itemProps2.xml><?xml version="1.0" encoding="utf-8"?>
<ds:datastoreItem xmlns:ds="http://schemas.openxmlformats.org/officeDocument/2006/customXml" ds:itemID="{7F5DED40-A792-4648-A172-8E99C46ACAC9}">
  <ds:schemaRefs/>
</ds:datastoreItem>
</file>

<file path=customXml/itemProps3.xml><?xml version="1.0" encoding="utf-8"?>
<ds:datastoreItem xmlns:ds="http://schemas.openxmlformats.org/officeDocument/2006/customXml" ds:itemID="{C0309376-A487-40C7-B47E-2B7C3D7A3BE1}">
  <ds:schemaRefs/>
</ds:datastoreItem>
</file>

<file path=customXml/itemProps4.xml><?xml version="1.0" encoding="utf-8"?>
<ds:datastoreItem xmlns:ds="http://schemas.openxmlformats.org/officeDocument/2006/customXml" ds:itemID="{A0FE7820-B145-4873-93F2-F6F6BCD41F62}">
  <ds:schemaRefs/>
</ds:datastoreItem>
</file>

<file path=customXml/itemProps5.xml><?xml version="1.0" encoding="utf-8"?>
<ds:datastoreItem xmlns:ds="http://schemas.openxmlformats.org/officeDocument/2006/customXml" ds:itemID="{1CE66C4E-9E25-4F3A-91ED-E005959D809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Cosmetic Sales Data 2025</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dc:creator>
  <cp:lastModifiedBy>rohit g</cp:lastModifiedBy>
  <dcterms:created xsi:type="dcterms:W3CDTF">2026-03-28T10:45:13Z</dcterms:created>
  <dcterms:modified xsi:type="dcterms:W3CDTF">2026-03-29T08:58:44Z</dcterms:modified>
</cp:coreProperties>
</file>